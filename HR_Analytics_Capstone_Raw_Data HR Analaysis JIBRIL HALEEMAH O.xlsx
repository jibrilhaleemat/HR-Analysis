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1238F69C-8C9C-4A57-BA97-7DDFC2093F08}" xr6:coauthVersionLast="47" xr6:coauthVersionMax="47" xr10:uidLastSave="{00000000-0000-0000-0000-000000000000}"/>
  <bookViews>
    <workbookView xWindow="-120" yWindow="-120" windowWidth="20730" windowHeight="11040" firstSheet="3" activeTab="5" xr2:uid="{00000000-000D-0000-FFFF-FFFF00000000}"/>
  </bookViews>
  <sheets>
    <sheet name="Raw_Employee_Data" sheetId="1" r:id="rId1"/>
    <sheet name="Lookup_Departments" sheetId="2" r:id="rId2"/>
    <sheet name="Lookup_Performance" sheetId="3" r:id="rId3"/>
    <sheet name="HR Analysis" sheetId="7" r:id="rId4"/>
    <sheet name="Pivot Chart" sheetId="8" r:id="rId5"/>
    <sheet name="HR_DASHBOARD" sheetId="10" r:id="rId6"/>
    <sheet name="DB_Formula" sheetId="4" r:id="rId7"/>
  </sheets>
  <definedNames>
    <definedName name="_xlnm._FilterDatabase" localSheetId="6" hidden="1">DB_Formula!$D$1:$L$151</definedName>
    <definedName name="Slicer_Department_Name">#N/A</definedName>
    <definedName name="Slicer_Employment_Status2">#N/A</definedName>
    <definedName name="Slicer_Year_of_Servic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7" l="1"/>
  <c r="E22" i="7"/>
  <c r="Q11" i="4"/>
  <c r="Q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L3" i="4"/>
  <c r="L4" i="4"/>
  <c r="Q2" i="4" s="1"/>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2" i="4"/>
  <c r="R2" i="4"/>
  <c r="P2" i="4"/>
  <c r="M48"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B10" i="4"/>
  <c r="B28" i="4"/>
  <c r="B38" i="4"/>
  <c r="B100" i="4"/>
  <c r="B151" i="4"/>
  <c r="J3" i="4"/>
  <c r="N3" i="4" s="1"/>
  <c r="O3" i="4" s="1"/>
  <c r="J4" i="4"/>
  <c r="N4" i="4" s="1"/>
  <c r="O4" i="4" s="1"/>
  <c r="J5" i="4"/>
  <c r="N5" i="4" s="1"/>
  <c r="O5" i="4" s="1"/>
  <c r="J6" i="4"/>
  <c r="N6" i="4" s="1"/>
  <c r="O6" i="4" s="1"/>
  <c r="J7" i="4"/>
  <c r="N7" i="4" s="1"/>
  <c r="O7" i="4" s="1"/>
  <c r="J8" i="4"/>
  <c r="N8" i="4" s="1"/>
  <c r="O8" i="4" s="1"/>
  <c r="J9" i="4"/>
  <c r="N9" i="4" s="1"/>
  <c r="O9" i="4" s="1"/>
  <c r="J10" i="4"/>
  <c r="N10" i="4" s="1"/>
  <c r="O10" i="4" s="1"/>
  <c r="J11" i="4"/>
  <c r="N11" i="4" s="1"/>
  <c r="O11" i="4" s="1"/>
  <c r="J12" i="4"/>
  <c r="N12" i="4" s="1"/>
  <c r="O12" i="4" s="1"/>
  <c r="J13" i="4"/>
  <c r="N13" i="4" s="1"/>
  <c r="O13" i="4" s="1"/>
  <c r="J14" i="4"/>
  <c r="N14" i="4" s="1"/>
  <c r="O14" i="4" s="1"/>
  <c r="J15" i="4"/>
  <c r="N15" i="4" s="1"/>
  <c r="O15" i="4" s="1"/>
  <c r="J16" i="4"/>
  <c r="N16" i="4" s="1"/>
  <c r="O16" i="4" s="1"/>
  <c r="J17" i="4"/>
  <c r="N17" i="4" s="1"/>
  <c r="O17" i="4" s="1"/>
  <c r="J18" i="4"/>
  <c r="N18" i="4" s="1"/>
  <c r="O18" i="4" s="1"/>
  <c r="J19" i="4"/>
  <c r="N19" i="4" s="1"/>
  <c r="O19" i="4" s="1"/>
  <c r="J20" i="4"/>
  <c r="N20" i="4" s="1"/>
  <c r="O20" i="4" s="1"/>
  <c r="J21" i="4"/>
  <c r="N21" i="4" s="1"/>
  <c r="O21" i="4" s="1"/>
  <c r="J22" i="4"/>
  <c r="N22" i="4" s="1"/>
  <c r="O22" i="4" s="1"/>
  <c r="J23" i="4"/>
  <c r="N23" i="4" s="1"/>
  <c r="O23" i="4" s="1"/>
  <c r="J24" i="4"/>
  <c r="N24" i="4" s="1"/>
  <c r="O24" i="4" s="1"/>
  <c r="J25" i="4"/>
  <c r="N25" i="4" s="1"/>
  <c r="O25" i="4" s="1"/>
  <c r="J26" i="4"/>
  <c r="N26" i="4" s="1"/>
  <c r="O26" i="4" s="1"/>
  <c r="J27" i="4"/>
  <c r="N27" i="4" s="1"/>
  <c r="O27" i="4" s="1"/>
  <c r="J28" i="4"/>
  <c r="N28" i="4" s="1"/>
  <c r="O28" i="4" s="1"/>
  <c r="J29" i="4"/>
  <c r="N29" i="4" s="1"/>
  <c r="O29" i="4" s="1"/>
  <c r="J30" i="4"/>
  <c r="N30" i="4" s="1"/>
  <c r="O30" i="4" s="1"/>
  <c r="J31" i="4"/>
  <c r="N31" i="4" s="1"/>
  <c r="O31" i="4" s="1"/>
  <c r="J32" i="4"/>
  <c r="N32" i="4" s="1"/>
  <c r="O32" i="4" s="1"/>
  <c r="J33" i="4"/>
  <c r="N33" i="4" s="1"/>
  <c r="O33" i="4" s="1"/>
  <c r="J34" i="4"/>
  <c r="N34" i="4" s="1"/>
  <c r="O34" i="4" s="1"/>
  <c r="J35" i="4"/>
  <c r="N35" i="4" s="1"/>
  <c r="O35" i="4" s="1"/>
  <c r="J36" i="4"/>
  <c r="N36" i="4" s="1"/>
  <c r="O36" i="4" s="1"/>
  <c r="J37" i="4"/>
  <c r="N37" i="4" s="1"/>
  <c r="O37" i="4" s="1"/>
  <c r="J38" i="4"/>
  <c r="N38" i="4" s="1"/>
  <c r="O38" i="4" s="1"/>
  <c r="J39" i="4"/>
  <c r="N39" i="4" s="1"/>
  <c r="O39" i="4" s="1"/>
  <c r="J40" i="4"/>
  <c r="N40" i="4" s="1"/>
  <c r="O40" i="4" s="1"/>
  <c r="J41" i="4"/>
  <c r="N41" i="4" s="1"/>
  <c r="O41" i="4" s="1"/>
  <c r="J42" i="4"/>
  <c r="N42" i="4" s="1"/>
  <c r="O42" i="4" s="1"/>
  <c r="J43" i="4"/>
  <c r="N43" i="4" s="1"/>
  <c r="O43" i="4" s="1"/>
  <c r="J44" i="4"/>
  <c r="N44" i="4" s="1"/>
  <c r="O44" i="4" s="1"/>
  <c r="J45" i="4"/>
  <c r="N45" i="4" s="1"/>
  <c r="O45" i="4" s="1"/>
  <c r="J46" i="4"/>
  <c r="N46" i="4" s="1"/>
  <c r="O46" i="4" s="1"/>
  <c r="J47" i="4"/>
  <c r="N47" i="4" s="1"/>
  <c r="O47" i="4" s="1"/>
  <c r="J48" i="4"/>
  <c r="N48" i="4" s="1"/>
  <c r="O48" i="4" s="1"/>
  <c r="J49" i="4"/>
  <c r="N49" i="4" s="1"/>
  <c r="O49" i="4" s="1"/>
  <c r="J50" i="4"/>
  <c r="N50" i="4" s="1"/>
  <c r="O50" i="4" s="1"/>
  <c r="J51" i="4"/>
  <c r="N51" i="4" s="1"/>
  <c r="O51" i="4" s="1"/>
  <c r="J52" i="4"/>
  <c r="N52" i="4" s="1"/>
  <c r="O52" i="4" s="1"/>
  <c r="J53" i="4"/>
  <c r="N53" i="4" s="1"/>
  <c r="O53" i="4" s="1"/>
  <c r="J54" i="4"/>
  <c r="N54" i="4" s="1"/>
  <c r="O54" i="4" s="1"/>
  <c r="J55" i="4"/>
  <c r="N55" i="4" s="1"/>
  <c r="O55" i="4" s="1"/>
  <c r="J56" i="4"/>
  <c r="N56" i="4" s="1"/>
  <c r="O56" i="4" s="1"/>
  <c r="J57" i="4"/>
  <c r="N57" i="4" s="1"/>
  <c r="O57" i="4" s="1"/>
  <c r="J58" i="4"/>
  <c r="N58" i="4" s="1"/>
  <c r="O58" i="4" s="1"/>
  <c r="J59" i="4"/>
  <c r="N59" i="4" s="1"/>
  <c r="O59" i="4" s="1"/>
  <c r="J60" i="4"/>
  <c r="N60" i="4" s="1"/>
  <c r="O60" i="4" s="1"/>
  <c r="J61" i="4"/>
  <c r="N61" i="4" s="1"/>
  <c r="O61" i="4" s="1"/>
  <c r="J62" i="4"/>
  <c r="N62" i="4" s="1"/>
  <c r="O62" i="4" s="1"/>
  <c r="J63" i="4"/>
  <c r="N63" i="4" s="1"/>
  <c r="O63" i="4" s="1"/>
  <c r="J64" i="4"/>
  <c r="N64" i="4" s="1"/>
  <c r="O64" i="4" s="1"/>
  <c r="J65" i="4"/>
  <c r="N65" i="4" s="1"/>
  <c r="O65" i="4" s="1"/>
  <c r="J66" i="4"/>
  <c r="N66" i="4" s="1"/>
  <c r="O66" i="4" s="1"/>
  <c r="J67" i="4"/>
  <c r="N67" i="4" s="1"/>
  <c r="O67" i="4" s="1"/>
  <c r="J68" i="4"/>
  <c r="N68" i="4" s="1"/>
  <c r="O68" i="4" s="1"/>
  <c r="J69" i="4"/>
  <c r="N69" i="4" s="1"/>
  <c r="O69" i="4" s="1"/>
  <c r="J70" i="4"/>
  <c r="N70" i="4" s="1"/>
  <c r="O70" i="4" s="1"/>
  <c r="J71" i="4"/>
  <c r="N71" i="4" s="1"/>
  <c r="O71" i="4" s="1"/>
  <c r="J72" i="4"/>
  <c r="N72" i="4" s="1"/>
  <c r="O72" i="4" s="1"/>
  <c r="J73" i="4"/>
  <c r="N73" i="4" s="1"/>
  <c r="O73" i="4" s="1"/>
  <c r="J74" i="4"/>
  <c r="N74" i="4" s="1"/>
  <c r="O74" i="4" s="1"/>
  <c r="J75" i="4"/>
  <c r="N75" i="4" s="1"/>
  <c r="O75" i="4" s="1"/>
  <c r="J76" i="4"/>
  <c r="N76" i="4" s="1"/>
  <c r="O76" i="4" s="1"/>
  <c r="J77" i="4"/>
  <c r="N77" i="4" s="1"/>
  <c r="O77" i="4" s="1"/>
  <c r="J78" i="4"/>
  <c r="N78" i="4" s="1"/>
  <c r="O78" i="4" s="1"/>
  <c r="J79" i="4"/>
  <c r="N79" i="4" s="1"/>
  <c r="O79" i="4" s="1"/>
  <c r="J80" i="4"/>
  <c r="N80" i="4" s="1"/>
  <c r="O80" i="4" s="1"/>
  <c r="J81" i="4"/>
  <c r="N81" i="4" s="1"/>
  <c r="O81" i="4" s="1"/>
  <c r="J82" i="4"/>
  <c r="N82" i="4" s="1"/>
  <c r="O82" i="4" s="1"/>
  <c r="J83" i="4"/>
  <c r="N83" i="4" s="1"/>
  <c r="O83" i="4" s="1"/>
  <c r="J84" i="4"/>
  <c r="N84" i="4" s="1"/>
  <c r="O84" i="4" s="1"/>
  <c r="J85" i="4"/>
  <c r="N85" i="4" s="1"/>
  <c r="O85" i="4" s="1"/>
  <c r="J86" i="4"/>
  <c r="N86" i="4" s="1"/>
  <c r="O86" i="4" s="1"/>
  <c r="J87" i="4"/>
  <c r="N87" i="4" s="1"/>
  <c r="O87" i="4" s="1"/>
  <c r="J88" i="4"/>
  <c r="N88" i="4" s="1"/>
  <c r="O88" i="4" s="1"/>
  <c r="J89" i="4"/>
  <c r="N89" i="4" s="1"/>
  <c r="O89" i="4" s="1"/>
  <c r="J90" i="4"/>
  <c r="N90" i="4" s="1"/>
  <c r="O90" i="4" s="1"/>
  <c r="J91" i="4"/>
  <c r="N91" i="4" s="1"/>
  <c r="O91" i="4" s="1"/>
  <c r="J92" i="4"/>
  <c r="N92" i="4" s="1"/>
  <c r="O92" i="4" s="1"/>
  <c r="J93" i="4"/>
  <c r="N93" i="4" s="1"/>
  <c r="O93" i="4" s="1"/>
  <c r="J94" i="4"/>
  <c r="N94" i="4" s="1"/>
  <c r="O94" i="4" s="1"/>
  <c r="J95" i="4"/>
  <c r="N95" i="4" s="1"/>
  <c r="O95" i="4" s="1"/>
  <c r="J96" i="4"/>
  <c r="N96" i="4" s="1"/>
  <c r="O96" i="4" s="1"/>
  <c r="J97" i="4"/>
  <c r="N97" i="4" s="1"/>
  <c r="O97" i="4" s="1"/>
  <c r="J98" i="4"/>
  <c r="N98" i="4" s="1"/>
  <c r="O98" i="4" s="1"/>
  <c r="J99" i="4"/>
  <c r="N99" i="4" s="1"/>
  <c r="O99" i="4" s="1"/>
  <c r="J100" i="4"/>
  <c r="N100" i="4" s="1"/>
  <c r="O100" i="4" s="1"/>
  <c r="J101" i="4"/>
  <c r="N101" i="4" s="1"/>
  <c r="O101" i="4" s="1"/>
  <c r="J102" i="4"/>
  <c r="N102" i="4" s="1"/>
  <c r="O102" i="4" s="1"/>
  <c r="J103" i="4"/>
  <c r="N103" i="4" s="1"/>
  <c r="O103" i="4" s="1"/>
  <c r="J104" i="4"/>
  <c r="N104" i="4" s="1"/>
  <c r="O104" i="4" s="1"/>
  <c r="J105" i="4"/>
  <c r="N105" i="4" s="1"/>
  <c r="O105" i="4" s="1"/>
  <c r="J106" i="4"/>
  <c r="N106" i="4" s="1"/>
  <c r="O106" i="4" s="1"/>
  <c r="J107" i="4"/>
  <c r="N107" i="4" s="1"/>
  <c r="O107" i="4" s="1"/>
  <c r="J108" i="4"/>
  <c r="N108" i="4" s="1"/>
  <c r="O108" i="4" s="1"/>
  <c r="J109" i="4"/>
  <c r="N109" i="4" s="1"/>
  <c r="O109" i="4" s="1"/>
  <c r="J110" i="4"/>
  <c r="N110" i="4" s="1"/>
  <c r="O110" i="4" s="1"/>
  <c r="J111" i="4"/>
  <c r="N111" i="4" s="1"/>
  <c r="O111" i="4" s="1"/>
  <c r="J112" i="4"/>
  <c r="N112" i="4" s="1"/>
  <c r="O112" i="4" s="1"/>
  <c r="J113" i="4"/>
  <c r="N113" i="4" s="1"/>
  <c r="O113" i="4" s="1"/>
  <c r="J114" i="4"/>
  <c r="N114" i="4" s="1"/>
  <c r="O114" i="4" s="1"/>
  <c r="J115" i="4"/>
  <c r="N115" i="4" s="1"/>
  <c r="O115" i="4" s="1"/>
  <c r="J116" i="4"/>
  <c r="N116" i="4" s="1"/>
  <c r="O116" i="4" s="1"/>
  <c r="J117" i="4"/>
  <c r="N117" i="4" s="1"/>
  <c r="O117" i="4" s="1"/>
  <c r="J118" i="4"/>
  <c r="N118" i="4" s="1"/>
  <c r="O118" i="4" s="1"/>
  <c r="J119" i="4"/>
  <c r="N119" i="4" s="1"/>
  <c r="O119" i="4" s="1"/>
  <c r="J120" i="4"/>
  <c r="N120" i="4" s="1"/>
  <c r="O120" i="4" s="1"/>
  <c r="J121" i="4"/>
  <c r="N121" i="4" s="1"/>
  <c r="O121" i="4" s="1"/>
  <c r="J122" i="4"/>
  <c r="N122" i="4" s="1"/>
  <c r="O122" i="4" s="1"/>
  <c r="J123" i="4"/>
  <c r="N123" i="4" s="1"/>
  <c r="O123" i="4" s="1"/>
  <c r="J124" i="4"/>
  <c r="N124" i="4" s="1"/>
  <c r="O124" i="4" s="1"/>
  <c r="J125" i="4"/>
  <c r="N125" i="4" s="1"/>
  <c r="O125" i="4" s="1"/>
  <c r="J126" i="4"/>
  <c r="N126" i="4" s="1"/>
  <c r="O126" i="4" s="1"/>
  <c r="J127" i="4"/>
  <c r="N127" i="4" s="1"/>
  <c r="O127" i="4" s="1"/>
  <c r="J128" i="4"/>
  <c r="N128" i="4" s="1"/>
  <c r="O128" i="4" s="1"/>
  <c r="J129" i="4"/>
  <c r="N129" i="4" s="1"/>
  <c r="O129" i="4" s="1"/>
  <c r="J130" i="4"/>
  <c r="N130" i="4" s="1"/>
  <c r="O130" i="4" s="1"/>
  <c r="J131" i="4"/>
  <c r="N131" i="4" s="1"/>
  <c r="O131" i="4" s="1"/>
  <c r="J132" i="4"/>
  <c r="N132" i="4" s="1"/>
  <c r="O132" i="4" s="1"/>
  <c r="J133" i="4"/>
  <c r="N133" i="4" s="1"/>
  <c r="O133" i="4" s="1"/>
  <c r="J134" i="4"/>
  <c r="N134" i="4" s="1"/>
  <c r="O134" i="4" s="1"/>
  <c r="J135" i="4"/>
  <c r="N135" i="4" s="1"/>
  <c r="O135" i="4" s="1"/>
  <c r="J136" i="4"/>
  <c r="N136" i="4" s="1"/>
  <c r="O136" i="4" s="1"/>
  <c r="J137" i="4"/>
  <c r="N137" i="4" s="1"/>
  <c r="O137" i="4" s="1"/>
  <c r="J138" i="4"/>
  <c r="N138" i="4" s="1"/>
  <c r="O138" i="4" s="1"/>
  <c r="J139" i="4"/>
  <c r="N139" i="4" s="1"/>
  <c r="O139" i="4" s="1"/>
  <c r="J140" i="4"/>
  <c r="N140" i="4" s="1"/>
  <c r="O140" i="4" s="1"/>
  <c r="J141" i="4"/>
  <c r="N141" i="4" s="1"/>
  <c r="O141" i="4" s="1"/>
  <c r="J142" i="4"/>
  <c r="N142" i="4" s="1"/>
  <c r="O142" i="4" s="1"/>
  <c r="J143" i="4"/>
  <c r="N143" i="4" s="1"/>
  <c r="O143" i="4" s="1"/>
  <c r="J144" i="4"/>
  <c r="N144" i="4" s="1"/>
  <c r="O144" i="4" s="1"/>
  <c r="J145" i="4"/>
  <c r="N145" i="4" s="1"/>
  <c r="O145" i="4" s="1"/>
  <c r="J146" i="4"/>
  <c r="N146" i="4" s="1"/>
  <c r="O146" i="4" s="1"/>
  <c r="J147" i="4"/>
  <c r="N147" i="4" s="1"/>
  <c r="O147" i="4" s="1"/>
  <c r="J148" i="4"/>
  <c r="N148" i="4" s="1"/>
  <c r="O148" i="4" s="1"/>
  <c r="J149" i="4"/>
  <c r="N149" i="4" s="1"/>
  <c r="O149" i="4" s="1"/>
  <c r="J150" i="4"/>
  <c r="N150" i="4" s="1"/>
  <c r="O150" i="4" s="1"/>
  <c r="J151" i="4"/>
  <c r="N151" i="4" s="1"/>
  <c r="O151" i="4" s="1"/>
  <c r="J2" i="4"/>
  <c r="N2" i="4" s="1"/>
  <c r="O2" i="4" s="1"/>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2" i="4"/>
  <c r="E3" i="4"/>
  <c r="F3" i="4" s="1"/>
  <c r="E4" i="4"/>
  <c r="F4" i="4" s="1"/>
  <c r="E5" i="4"/>
  <c r="F5" i="4" s="1"/>
  <c r="E6" i="4"/>
  <c r="F6" i="4" s="1"/>
  <c r="E7" i="4"/>
  <c r="F7" i="4" s="1"/>
  <c r="E8" i="4"/>
  <c r="F8" i="4" s="1"/>
  <c r="E9" i="4"/>
  <c r="F9" i="4" s="1"/>
  <c r="E10" i="4"/>
  <c r="F10" i="4" s="1"/>
  <c r="E11" i="4"/>
  <c r="F11" i="4" s="1"/>
  <c r="E12" i="4"/>
  <c r="F12" i="4" s="1"/>
  <c r="E13" i="4"/>
  <c r="F13" i="4" s="1"/>
  <c r="E14" i="4"/>
  <c r="F14"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E29" i="4"/>
  <c r="F29" i="4" s="1"/>
  <c r="E30" i="4"/>
  <c r="F30" i="4" s="1"/>
  <c r="E31" i="4"/>
  <c r="F31" i="4" s="1"/>
  <c r="E32" i="4"/>
  <c r="F32" i="4" s="1"/>
  <c r="E33" i="4"/>
  <c r="F33" i="4" s="1"/>
  <c r="E34" i="4"/>
  <c r="F34" i="4" s="1"/>
  <c r="E35" i="4"/>
  <c r="F35" i="4" s="1"/>
  <c r="E36" i="4"/>
  <c r="F36" i="4" s="1"/>
  <c r="E37" i="4"/>
  <c r="F37" i="4" s="1"/>
  <c r="E38" i="4"/>
  <c r="F38" i="4" s="1"/>
  <c r="E39" i="4"/>
  <c r="F39" i="4" s="1"/>
  <c r="E40" i="4"/>
  <c r="F40" i="4" s="1"/>
  <c r="E41" i="4"/>
  <c r="F41" i="4" s="1"/>
  <c r="E42" i="4"/>
  <c r="F42" i="4" s="1"/>
  <c r="E43" i="4"/>
  <c r="F43" i="4" s="1"/>
  <c r="E44" i="4"/>
  <c r="F44" i="4" s="1"/>
  <c r="E45" i="4"/>
  <c r="F45" i="4" s="1"/>
  <c r="E46" i="4"/>
  <c r="F46" i="4" s="1"/>
  <c r="E47" i="4"/>
  <c r="F47" i="4" s="1"/>
  <c r="E48" i="4"/>
  <c r="F48" i="4" s="1"/>
  <c r="E49" i="4"/>
  <c r="F49" i="4" s="1"/>
  <c r="E50" i="4"/>
  <c r="F50" i="4" s="1"/>
  <c r="E51" i="4"/>
  <c r="F51" i="4" s="1"/>
  <c r="E52" i="4"/>
  <c r="F52" i="4" s="1"/>
  <c r="E53" i="4"/>
  <c r="F53" i="4" s="1"/>
  <c r="E54" i="4"/>
  <c r="F54" i="4" s="1"/>
  <c r="E55" i="4"/>
  <c r="F55" i="4" s="1"/>
  <c r="E56" i="4"/>
  <c r="F56" i="4" s="1"/>
  <c r="E57" i="4"/>
  <c r="F57" i="4" s="1"/>
  <c r="E58" i="4"/>
  <c r="F58" i="4" s="1"/>
  <c r="E59" i="4"/>
  <c r="F59" i="4" s="1"/>
  <c r="E60" i="4"/>
  <c r="F60" i="4" s="1"/>
  <c r="E61" i="4"/>
  <c r="F61" i="4" s="1"/>
  <c r="E62" i="4"/>
  <c r="F62" i="4" s="1"/>
  <c r="E63" i="4"/>
  <c r="F63" i="4" s="1"/>
  <c r="E64" i="4"/>
  <c r="F64" i="4" s="1"/>
  <c r="E65" i="4"/>
  <c r="F65" i="4" s="1"/>
  <c r="E66" i="4"/>
  <c r="F66" i="4" s="1"/>
  <c r="E67" i="4"/>
  <c r="F67" i="4" s="1"/>
  <c r="E68" i="4"/>
  <c r="F68" i="4" s="1"/>
  <c r="E69" i="4"/>
  <c r="F69" i="4" s="1"/>
  <c r="E70" i="4"/>
  <c r="F70" i="4" s="1"/>
  <c r="E71" i="4"/>
  <c r="F71" i="4" s="1"/>
  <c r="E72" i="4"/>
  <c r="F72" i="4" s="1"/>
  <c r="E73" i="4"/>
  <c r="F73" i="4" s="1"/>
  <c r="E74" i="4"/>
  <c r="F74" i="4" s="1"/>
  <c r="E75" i="4"/>
  <c r="F75" i="4" s="1"/>
  <c r="E76" i="4"/>
  <c r="F76" i="4" s="1"/>
  <c r="E77" i="4"/>
  <c r="F77" i="4" s="1"/>
  <c r="E78" i="4"/>
  <c r="F78" i="4" s="1"/>
  <c r="E79" i="4"/>
  <c r="F79" i="4" s="1"/>
  <c r="E80" i="4"/>
  <c r="F80" i="4" s="1"/>
  <c r="E81" i="4"/>
  <c r="F81" i="4" s="1"/>
  <c r="E82" i="4"/>
  <c r="F82" i="4" s="1"/>
  <c r="E83" i="4"/>
  <c r="F83" i="4" s="1"/>
  <c r="E84" i="4"/>
  <c r="F84" i="4" s="1"/>
  <c r="E85" i="4"/>
  <c r="F85" i="4" s="1"/>
  <c r="E86" i="4"/>
  <c r="F86" i="4" s="1"/>
  <c r="E87" i="4"/>
  <c r="F87" i="4" s="1"/>
  <c r="E88" i="4"/>
  <c r="F88" i="4" s="1"/>
  <c r="E89" i="4"/>
  <c r="F89" i="4" s="1"/>
  <c r="E90" i="4"/>
  <c r="F90" i="4" s="1"/>
  <c r="E91" i="4"/>
  <c r="F91" i="4" s="1"/>
  <c r="E92" i="4"/>
  <c r="F92" i="4" s="1"/>
  <c r="E93" i="4"/>
  <c r="F93" i="4" s="1"/>
  <c r="E94" i="4"/>
  <c r="F94" i="4" s="1"/>
  <c r="E95" i="4"/>
  <c r="F95" i="4" s="1"/>
  <c r="E96" i="4"/>
  <c r="F96" i="4" s="1"/>
  <c r="E97" i="4"/>
  <c r="F97" i="4" s="1"/>
  <c r="E98" i="4"/>
  <c r="F98" i="4" s="1"/>
  <c r="E99" i="4"/>
  <c r="F99" i="4" s="1"/>
  <c r="E100" i="4"/>
  <c r="F100" i="4" s="1"/>
  <c r="E101" i="4"/>
  <c r="F101" i="4" s="1"/>
  <c r="E102" i="4"/>
  <c r="F102" i="4" s="1"/>
  <c r="E103" i="4"/>
  <c r="F103" i="4" s="1"/>
  <c r="E104" i="4"/>
  <c r="F104" i="4" s="1"/>
  <c r="E105" i="4"/>
  <c r="F105" i="4" s="1"/>
  <c r="E106" i="4"/>
  <c r="F106" i="4" s="1"/>
  <c r="E107" i="4"/>
  <c r="F107" i="4" s="1"/>
  <c r="E108" i="4"/>
  <c r="F108" i="4" s="1"/>
  <c r="E109" i="4"/>
  <c r="F109" i="4" s="1"/>
  <c r="E110" i="4"/>
  <c r="F110" i="4" s="1"/>
  <c r="E111" i="4"/>
  <c r="F111" i="4" s="1"/>
  <c r="E112" i="4"/>
  <c r="F112" i="4" s="1"/>
  <c r="E113" i="4"/>
  <c r="F113" i="4" s="1"/>
  <c r="E114" i="4"/>
  <c r="F114" i="4" s="1"/>
  <c r="E115" i="4"/>
  <c r="F115" i="4" s="1"/>
  <c r="E116" i="4"/>
  <c r="F116" i="4" s="1"/>
  <c r="E117" i="4"/>
  <c r="F117" i="4" s="1"/>
  <c r="E118" i="4"/>
  <c r="F118" i="4" s="1"/>
  <c r="E119" i="4"/>
  <c r="F119" i="4" s="1"/>
  <c r="E120" i="4"/>
  <c r="F120" i="4" s="1"/>
  <c r="E121" i="4"/>
  <c r="F121" i="4" s="1"/>
  <c r="E122" i="4"/>
  <c r="F122" i="4" s="1"/>
  <c r="E123" i="4"/>
  <c r="F123" i="4" s="1"/>
  <c r="E124" i="4"/>
  <c r="F124" i="4" s="1"/>
  <c r="E125" i="4"/>
  <c r="F125" i="4" s="1"/>
  <c r="E126" i="4"/>
  <c r="F126" i="4" s="1"/>
  <c r="E127" i="4"/>
  <c r="F127" i="4" s="1"/>
  <c r="E128" i="4"/>
  <c r="F128" i="4" s="1"/>
  <c r="E129" i="4"/>
  <c r="F129" i="4" s="1"/>
  <c r="E130" i="4"/>
  <c r="F130" i="4" s="1"/>
  <c r="E131" i="4"/>
  <c r="F131" i="4" s="1"/>
  <c r="E132" i="4"/>
  <c r="F132" i="4" s="1"/>
  <c r="E133" i="4"/>
  <c r="F133" i="4" s="1"/>
  <c r="E134" i="4"/>
  <c r="F134" i="4" s="1"/>
  <c r="E135" i="4"/>
  <c r="F135" i="4" s="1"/>
  <c r="E136" i="4"/>
  <c r="F136" i="4" s="1"/>
  <c r="E137" i="4"/>
  <c r="F137" i="4" s="1"/>
  <c r="E138" i="4"/>
  <c r="F138" i="4" s="1"/>
  <c r="E139" i="4"/>
  <c r="F139" i="4" s="1"/>
  <c r="E140" i="4"/>
  <c r="F140" i="4" s="1"/>
  <c r="E141" i="4"/>
  <c r="F141" i="4" s="1"/>
  <c r="E142" i="4"/>
  <c r="F142" i="4" s="1"/>
  <c r="E143" i="4"/>
  <c r="F143" i="4" s="1"/>
  <c r="E144" i="4"/>
  <c r="F144" i="4" s="1"/>
  <c r="E145" i="4"/>
  <c r="F145" i="4" s="1"/>
  <c r="E146" i="4"/>
  <c r="F146" i="4" s="1"/>
  <c r="E147" i="4"/>
  <c r="F147" i="4" s="1"/>
  <c r="E148" i="4"/>
  <c r="F148" i="4" s="1"/>
  <c r="E149" i="4"/>
  <c r="F149" i="4" s="1"/>
  <c r="E150" i="4"/>
  <c r="F150" i="4" s="1"/>
  <c r="E151" i="4"/>
  <c r="F151" i="4" s="1"/>
  <c r="E2" i="4"/>
  <c r="F2" i="4" s="1"/>
  <c r="C44" i="7"/>
  <c r="D10" i="7"/>
</calcChain>
</file>

<file path=xl/sharedStrings.xml><?xml version="1.0" encoding="utf-8"?>
<sst xmlns="http://schemas.openxmlformats.org/spreadsheetml/2006/main" count="1690" uniqueCount="323">
  <si>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</si>
  <si>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</si>
  <si>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</si>
  <si>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</si>
  <si>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</si>
  <si>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</si>
  <si>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</si>
  <si>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</si>
  <si>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</si>
  <si>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</si>
  <si>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</si>
  <si>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</si>
  <si>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</si>
  <si>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</si>
  <si>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</si>
  <si>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</si>
  <si>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</si>
  <si>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</si>
  <si>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</si>
  <si>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</si>
  <si>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</si>
  <si>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</si>
  <si>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</si>
  <si>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</si>
  <si>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</si>
  <si>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</si>
  <si>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</si>
  <si>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</si>
  <si>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</si>
  <si>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</si>
  <si>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</si>
  <si>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</si>
  <si>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</si>
  <si>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</si>
  <si>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</si>
  <si>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</si>
  <si>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</si>
  <si>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</si>
  <si>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</si>
  <si>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</si>
  <si>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</si>
  <si>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</si>
  <si>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</si>
  <si>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</si>
  <si>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</si>
  <si>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</si>
  <si>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</si>
  <si>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</si>
  <si>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</si>
  <si>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</si>
  <si>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</si>
  <si>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</si>
  <si>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</si>
  <si>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</si>
  <si>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</si>
  <si>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</si>
  <si>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</si>
  <si>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</si>
  <si>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</si>
  <si>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</si>
  <si>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</si>
  <si>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</si>
  <si>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</si>
  <si>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</si>
  <si>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</si>
  <si>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</si>
  <si>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</si>
  <si>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</si>
  <si>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</si>
  <si>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</si>
  <si>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</si>
  <si>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</si>
  <si>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</si>
  <si>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</si>
  <si>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</si>
  <si>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</si>
  <si>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</si>
  <si>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</si>
  <si>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</si>
  <si>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</si>
  <si>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</si>
  <si>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</si>
  <si>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</si>
  <si>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</si>
  <si>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</si>
  <si>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</si>
  <si>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</si>
  <si>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</si>
  <si>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</si>
  <si>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</si>
  <si>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</si>
  <si>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</si>
  <si>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</si>
  <si>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</si>
  <si>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</si>
  <si>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</si>
  <si>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</si>
  <si>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</si>
  <si>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</si>
  <si>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</si>
  <si>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</si>
  <si>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</si>
  <si>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</si>
  <si>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</si>
  <si>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</si>
  <si>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</si>
  <si>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</si>
  <si>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</si>
  <si>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</si>
  <si>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</si>
  <si>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</si>
  <si>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</si>
  <si>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</si>
  <si>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</si>
  <si>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</si>
  <si>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</si>
  <si>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</si>
  <si>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</si>
  <si>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</si>
  <si>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</si>
  <si>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</si>
  <si>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</si>
  <si>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</si>
  <si>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</si>
  <si>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</si>
  <si>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</si>
  <si>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</si>
  <si>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</si>
  <si>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</si>
  <si>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</si>
  <si>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</si>
  <si>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</si>
  <si>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</si>
  <si>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</si>
  <si>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</si>
  <si>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</si>
  <si>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</si>
  <si>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</si>
  <si>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</si>
  <si>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</si>
  <si>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</si>
  <si>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</si>
  <si>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</si>
  <si>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</si>
  <si>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</si>
  <si>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</si>
  <si>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</si>
  <si>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</si>
  <si>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</si>
  <si>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</si>
  <si>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</si>
  <si>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</si>
  <si>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</si>
  <si>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</si>
  <si>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</si>
  <si>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</si>
  <si>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</si>
  <si>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</si>
  <si>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</si>
  <si>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</si>
  <si>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</si>
  <si>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</si>
  <si>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</si>
  <si>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</si>
  <si>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</si>
  <si>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</si>
  <si>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</si>
  <si>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</si>
  <si>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</si>
  <si>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</si>
  <si>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</si>
  <si>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</si>
  <si>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</si>
  <si>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</si>
  <si>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</si>
  <si>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</si>
  <si>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</si>
  <si>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</si>
  <si>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</si>
  <si>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</si>
  <si>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</si>
  <si>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</si>
  <si>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</si>
  <si>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</si>
  <si>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</si>
  <si>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</si>
  <si>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</si>
  <si>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</si>
  <si>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</si>
  <si>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</si>
  <si>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</si>
  <si>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</si>
  <si>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</si>
  <si>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</si>
  <si>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</si>
  <si>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</si>
  <si>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</si>
  <si>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</si>
  <si>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</si>
  <si>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</si>
  <si>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</si>
  <si>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</si>
  <si>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</si>
  <si>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</si>
  <si>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</si>
  <si>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</si>
  <si>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</si>
  <si>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</si>
  <si>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</si>
  <si>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</si>
  <si>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</si>
  <si>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</si>
  <si>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</si>
  <si>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</si>
  <si>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</si>
  <si>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</si>
  <si>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</si>
  <si>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</si>
  <si>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</si>
  <si>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</si>
  <si>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</si>
  <si>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</si>
  <si>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</si>
  <si>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</si>
  <si>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</si>
  <si>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</si>
  <si>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</si>
  <si>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</si>
  <si>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</si>
  <si>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</si>
  <si>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</si>
  <si>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</si>
  <si>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</si>
  <si>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</si>
  <si>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</si>
  <si>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</si>
  <si>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</si>
  <si>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</si>
  <si>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</si>
  <si>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</si>
  <si>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</si>
  <si>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</si>
  <si>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</si>
  <si>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</si>
  <si>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</si>
  <si>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</si>
  <si>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</si>
  <si>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</si>
  <si>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</si>
  <si>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</si>
  <si>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</si>
  <si>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</si>
  <si>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</si>
  <si>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</si>
  <si>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</si>
  <si>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</si>
  <si>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</si>
  <si>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</si>
  <si>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</si>
  <si>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</si>
  <si>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</si>
  <si>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</si>
  <si>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</si>
  <si>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</si>
  <si>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</si>
  <si>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</si>
  <si>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</si>
  <si>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</si>
  <si>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</si>
  <si>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</si>
  <si>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</si>
  <si>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</si>
  <si>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</si>
  <si>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</si>
  <si>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</si>
  <si>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</si>
  <si>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</si>
  <si>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</si>
  <si>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</si>
  <si>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</si>
  <si>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</si>
  <si>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</si>
  <si>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</si>
  <si>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</si>
  <si>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</si>
  <si>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</si>
  <si>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</si>
  <si>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</si>
  <si>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</si>
  <si>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</si>
  <si>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</si>
  <si>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</si>
  <si>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</si>
  <si>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</si>
  <si>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</si>
  <si>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</si>
  <si>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</si>
  <si>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</si>
  <si>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</si>
  <si>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</si>
  <si>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</si>
  <si>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</si>
  <si>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</si>
  <si>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</si>
  <si>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Department Name</t>
  </si>
  <si>
    <t>Year of Service</t>
  </si>
  <si>
    <t>Perf_ Band</t>
  </si>
  <si>
    <t>Eligible Bonus Amount</t>
  </si>
  <si>
    <t>Bonus Percentage</t>
  </si>
  <si>
    <t>Row Labels</t>
  </si>
  <si>
    <t>Grand Total</t>
  </si>
  <si>
    <t>Count of Emp ID</t>
  </si>
  <si>
    <t>Sum of Salary</t>
  </si>
  <si>
    <t>Sum of Eligible Bonus Amount</t>
  </si>
  <si>
    <t>Average of Perf_Score</t>
  </si>
  <si>
    <t>Attrition Rate</t>
  </si>
  <si>
    <t xml:space="preserve"> 1. Total Headcount And Department Per Salary</t>
  </si>
  <si>
    <t xml:space="preserve">      2. Atrrition Rate By Department</t>
  </si>
  <si>
    <t>Column Labels</t>
  </si>
  <si>
    <t>NO</t>
  </si>
  <si>
    <t>YES</t>
  </si>
  <si>
    <t xml:space="preserve">         3. Performance By Status</t>
  </si>
  <si>
    <t xml:space="preserve">      4. Bonus Payout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</si>
</sst>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hh:mm:ss"/>
    <numFmt numFmtId="165" formatCode="&quot;$&quot;#,##0.00"/>
    <numFmt numFmtId="166" formatCode="&quot;$&quot;#,##0"/>
    <numFmt numFmtId="167" formatCode="0.0,,&quot;M&quot;"/>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1" fontId="0" fillId="0" borderId="0" xfId="0" applyNumberFormat="1"/>
    <xf numFmtId="0" fontId="1" fillId="0" borderId="2" xfId="0" applyFont="1" applyBorder="1" applyAlignment="1">
      <alignment horizontal="center" vertical="top"/>
    </xf>
    <xf numFmtId="0" fontId="1" fillId="0" borderId="0" xfId="0" applyFont="1" applyAlignment="1">
      <alignment horizontal="center" vertical="top"/>
    </xf>
    <xf numFmtId="9" fontId="1" fillId="0" borderId="0" xfId="2" applyFont="1" applyBorder="1" applyAlignment="1">
      <alignment horizontal="center" vertical="top"/>
    </xf>
    <xf numFmtId="9" fontId="0" fillId="0" borderId="0" xfId="2" applyFont="1"/>
    <xf numFmtId="0" fontId="0" fillId="0" borderId="0" xfId="0" pivotButton="1"/>
    <xf numFmtId="0" fontId="0" fillId="0" borderId="0" xfId="0" applyAlignment="1">
      <alignment horizontal="left"/>
    </xf>
    <xf numFmtId="2" fontId="0" fillId="0" borderId="0" xfId="0" applyNumberFormat="1"/>
    <xf numFmtId="2" fontId="1" fillId="0" borderId="1" xfId="1" applyNumberFormat="1" applyFont="1" applyBorder="1" applyAlignment="1">
      <alignment horizontal="center" vertical="top"/>
    </xf>
    <xf numFmtId="2" fontId="0" fillId="0" borderId="0" xfId="1" applyNumberFormat="1" applyFont="1"/>
    <xf numFmtId="9" fontId="0" fillId="0" borderId="0" xfId="0" applyNumberFormat="1"/>
    <xf numFmtId="167" fontId="0" fillId="0" borderId="0" xfId="0" applyNumberFormat="1"/>
    <xf numFmtId="1" fontId="0" fillId="0" borderId="0" xfId="0" applyNumberFormat="1" applyAlignment="1">
      <alignment horizontal="left"/>
    </xf>
    <xf numFmtId="10" fontId="0" fillId="0" borderId="0" xfId="0" applyNumberFormat="1"/>
    <xf numFmtId="0" fontId="0" fillId="0" borderId="0" xfId="0"/>
    <xf numFmtId="0" fontId="0" fillId="0" borderId="0" xfId="0" applyNumberFormat="1"/>
  </cellXfs>
  <cellStyles count="3">
    <cellStyle name="Currency" xfId="1" builtinId="4"/>
    <cellStyle name="Normal" xfId="0" builtinId="0"/>
    <cellStyle name="Percent" xfId="2" builtinId="5"/>
  </cellStyles>
  <dxfs count="8">
    <dxf>
      <numFmt numFmtId="167" formatCode="0.0,,&quot;M&quot;"/>
    </dxf>
    <dxf>
      <numFmt numFmtId="13" formatCode="0%"/>
    </dxf>
    <dxf>
      <numFmt numFmtId="13" formatCode="0%"/>
    </dxf>
    <dxf>
      <numFmt numFmtId="14" formatCode="0.00%"/>
    </dxf>
    <dxf>
      <numFmt numFmtId="13" formatCode="0%"/>
    </dxf>
    <dxf>
      <numFmt numFmtId="165" formatCode="&quot;$&quot;#,##0.00"/>
    </dxf>
    <dxf>
      <numFmt numFmtId="2" formatCode="0.00"/>
    </dxf>
    <dxf>
      <numFmt numFmtId="13" formatCode="0%"/>
    </dxf>
  </dxfs>
  <tableStyles count="0" defaultTableStyle="TableStyleMedium9" defaultPivotStyle="PivotStyleLight16"/>
  <colors>
    <mruColors>
      <color rgb="FFEEF8EE"/>
      <color rgb="FFAED581"/>
      <color rgb="FF33691E"/>
      <color rgb="FFDFF2DE"/>
      <color rgb="FF81C784"/>
      <color rgb="FF609C42"/>
      <color rgb="FF2E7D32"/>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 By Dept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 Analysis'!$B$14:$B$15</c:f>
              <c:strCache>
                <c:ptCount val="1"/>
                <c:pt idx="0">
                  <c:v>NO</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Analysis'!$A$16:$A$22</c:f>
              <c:strCache>
                <c:ptCount val="6"/>
                <c:pt idx="0">
                  <c:v>Finance</c:v>
                </c:pt>
                <c:pt idx="1">
                  <c:v>Human Resources</c:v>
                </c:pt>
                <c:pt idx="2">
                  <c:v>Information Technology</c:v>
                </c:pt>
                <c:pt idx="3">
                  <c:v>Marketing</c:v>
                </c:pt>
                <c:pt idx="4">
                  <c:v>Operations</c:v>
                </c:pt>
                <c:pt idx="5">
                  <c:v>Sales</c:v>
                </c:pt>
              </c:strCache>
            </c:strRef>
          </c:cat>
          <c:val>
            <c:numRef>
              <c:f>'HR Analysis'!$B$16:$B$22</c:f>
              <c:numCache>
                <c:formatCode>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2-03C3-4894-8197-1D396061A163}"/>
            </c:ext>
          </c:extLst>
        </c:ser>
        <c:ser>
          <c:idx val="1"/>
          <c:order val="1"/>
          <c:tx>
            <c:strRef>
              <c:f>'HR Analysis'!$C$14:$C$15</c:f>
              <c:strCache>
                <c:ptCount val="1"/>
                <c:pt idx="0">
                  <c:v>YES</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Analysis'!$A$16:$A$22</c:f>
              <c:strCache>
                <c:ptCount val="6"/>
                <c:pt idx="0">
                  <c:v>Finance</c:v>
                </c:pt>
                <c:pt idx="1">
                  <c:v>Human Resources</c:v>
                </c:pt>
                <c:pt idx="2">
                  <c:v>Information Technology</c:v>
                </c:pt>
                <c:pt idx="3">
                  <c:v>Marketing</c:v>
                </c:pt>
                <c:pt idx="4">
                  <c:v>Operations</c:v>
                </c:pt>
                <c:pt idx="5">
                  <c:v>Sales</c:v>
                </c:pt>
              </c:strCache>
            </c:strRef>
          </c:cat>
          <c:val>
            <c:numRef>
              <c:f>'HR Analysis'!$C$16:$C$22</c:f>
              <c:numCache>
                <c:formatCode>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0-D792-4F4B-B5F8-22EFB053CDAC}"/>
            </c:ext>
          </c:extLst>
        </c:ser>
        <c:dLbls>
          <c:dLblPos val="outEnd"/>
          <c:showLegendKey val="0"/>
          <c:showVal val="1"/>
          <c:showCatName val="0"/>
          <c:showSerName val="0"/>
          <c:showPercent val="0"/>
          <c:showBubbleSize val="0"/>
        </c:dLbls>
        <c:gapWidth val="150"/>
        <c:axId val="558695903"/>
        <c:axId val="556659743"/>
      </c:barChart>
      <c:catAx>
        <c:axId val="55869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556659743"/>
        <c:crosses val="autoZero"/>
        <c:auto val="1"/>
        <c:lblAlgn val="ctr"/>
        <c:lblOffset val="100"/>
        <c:noMultiLvlLbl val="0"/>
      </c:catAx>
      <c:valAx>
        <c:axId val="556659743"/>
        <c:scaling>
          <c:orientation val="minMax"/>
        </c:scaling>
        <c:delete val="1"/>
        <c:axPos val="l"/>
        <c:numFmt formatCode="0%" sourceLinked="1"/>
        <c:majorTickMark val="none"/>
        <c:minorTickMark val="none"/>
        <c:tickLblPos val="nextTo"/>
        <c:crossAx val="55869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Performance</a:t>
            </a:r>
            <a:r>
              <a:rPr lang="en-US" b="1" baseline="0"/>
              <a:t> By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tint val="65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hade val="65000"/>
            </a:schemeClr>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w="19050">
            <a:solidFill>
              <a:schemeClr val="lt1"/>
            </a:solidFill>
          </a:ln>
          <a:effectLst/>
        </c:spPr>
      </c:pivotFmt>
      <c:pivotFmt>
        <c:idx val="7"/>
        <c:spPr>
          <a:solidFill>
            <a:schemeClr val="accent3">
              <a:tint val="77000"/>
            </a:schemeClr>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
        <c:idx val="9"/>
        <c:spPr>
          <a:solidFill>
            <a:schemeClr val="accent3">
              <a:tint val="77000"/>
            </a:schemeClr>
          </a:solidFill>
          <a:ln w="19050">
            <a:solidFill>
              <a:schemeClr val="lt1"/>
            </a:solidFill>
          </a:ln>
          <a:effectLst/>
        </c:spPr>
      </c:pivotFmt>
      <c:pivotFmt>
        <c:idx val="10"/>
        <c:spPr>
          <a:solidFill>
            <a:schemeClr val="accent3">
              <a:shade val="76000"/>
            </a:schemeClr>
          </a:solidFill>
          <a:ln w="19050">
            <a:solidFill>
              <a:schemeClr val="lt1"/>
            </a:solidFill>
          </a:ln>
          <a:effectLst/>
        </c:spPr>
      </c:pivotFmt>
    </c:pivotFmts>
    <c:plotArea>
      <c:layout/>
      <c:pieChart>
        <c:varyColors val="1"/>
        <c:ser>
          <c:idx val="0"/>
          <c:order val="0"/>
          <c:tx>
            <c:strRef>
              <c:f>'HR Analysis'!$B$27</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1A87-4022-9AE7-CA0A8222A181}"/>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1A87-4022-9AE7-CA0A8222A181}"/>
              </c:ext>
            </c:extLst>
          </c:dPt>
          <c:dPt>
            <c:idx val="2"/>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5-1A87-4022-9AE7-CA0A8222A181}"/>
              </c:ext>
            </c:extLst>
          </c:dPt>
          <c:dPt>
            <c:idx val="3"/>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7-3730-44E3-B029-13EF7A119B9B}"/>
              </c:ext>
            </c:extLst>
          </c:dPt>
          <c:dPt>
            <c:idx val="4"/>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9-3730-44E3-B029-13EF7A119B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 Analysis'!$A$28:$A$33</c:f>
              <c:strCache>
                <c:ptCount val="5"/>
                <c:pt idx="0">
                  <c:v> ACTIVE </c:v>
                </c:pt>
                <c:pt idx="1">
                  <c:v> LEFT </c:v>
                </c:pt>
                <c:pt idx="2">
                  <c:v>active</c:v>
                </c:pt>
                <c:pt idx="3">
                  <c:v>Left</c:v>
                </c:pt>
                <c:pt idx="4">
                  <c:v>Resigned</c:v>
                </c:pt>
              </c:strCache>
            </c:strRef>
          </c:cat>
          <c:val>
            <c:numRef>
              <c:f>'HR Analysis'!$B$28:$B$33</c:f>
              <c:numCache>
                <c:formatCode>General</c:formatCode>
                <c:ptCount val="5"/>
                <c:pt idx="0">
                  <c:v>60.275862068965516</c:v>
                </c:pt>
                <c:pt idx="1">
                  <c:v>64.36363636363636</c:v>
                </c:pt>
                <c:pt idx="2">
                  <c:v>70.229885057471265</c:v>
                </c:pt>
                <c:pt idx="3">
                  <c:v>67.769230769230774</c:v>
                </c:pt>
                <c:pt idx="4">
                  <c:v>76.400000000000006</c:v>
                </c:pt>
              </c:numCache>
            </c:numRef>
          </c:val>
          <c:extLst>
            <c:ext xmlns:c16="http://schemas.microsoft.com/office/drawing/2014/chart" uri="{C3380CC4-5D6E-409C-BE32-E72D297353CC}">
              <c16:uniqueId val="{00000006-1A87-4022-9AE7-CA0A8222A1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Analysis!PivotTable17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Bonus</a:t>
            </a:r>
            <a:r>
              <a:rPr lang="en-US" b="1" baseline="0"/>
              <a:t> Payout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Analysis'!$B$38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Analysis'!$A$39:$A$44</c:f>
              <c:strCache>
                <c:ptCount val="5"/>
                <c:pt idx="0">
                  <c:v>Achieving</c:v>
                </c:pt>
                <c:pt idx="1">
                  <c:v>Developing</c:v>
                </c:pt>
                <c:pt idx="2">
                  <c:v>Exceeding</c:v>
                </c:pt>
                <c:pt idx="3">
                  <c:v>Needs Improvement</c:v>
                </c:pt>
                <c:pt idx="4">
                  <c:v>Outstanding</c:v>
                </c:pt>
              </c:strCache>
            </c:strRef>
          </c:cat>
          <c:val>
            <c:numRef>
              <c:f>'HR Analysis'!$B$39:$B$44</c:f>
              <c:numCache>
                <c:formatCode>"$"#,##0.00</c:formatCode>
                <c:ptCount val="5"/>
                <c:pt idx="0">
                  <c:v>165216.93250000002</c:v>
                </c:pt>
                <c:pt idx="1">
                  <c:v>84593.268800000005</c:v>
                </c:pt>
                <c:pt idx="2">
                  <c:v>144689.42879999999</c:v>
                </c:pt>
                <c:pt idx="3">
                  <c:v>0</c:v>
                </c:pt>
                <c:pt idx="4">
                  <c:v>92411.511600000013</c:v>
                </c:pt>
              </c:numCache>
            </c:numRef>
          </c:val>
          <c:extLst>
            <c:ext xmlns:c16="http://schemas.microsoft.com/office/drawing/2014/chart" uri="{C3380CC4-5D6E-409C-BE32-E72D297353CC}">
              <c16:uniqueId val="{00000000-371E-4577-B00D-E5E570C4839E}"/>
            </c:ext>
          </c:extLst>
        </c:ser>
        <c:dLbls>
          <c:dLblPos val="outEnd"/>
          <c:showLegendKey val="0"/>
          <c:showVal val="1"/>
          <c:showCatName val="0"/>
          <c:showSerName val="0"/>
          <c:showPercent val="0"/>
          <c:showBubbleSize val="0"/>
        </c:dLbls>
        <c:gapWidth val="182"/>
        <c:axId val="648744287"/>
        <c:axId val="558618079"/>
      </c:barChart>
      <c:catAx>
        <c:axId val="64874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558618079"/>
        <c:crosses val="autoZero"/>
        <c:auto val="1"/>
        <c:lblAlgn val="ctr"/>
        <c:lblOffset val="100"/>
        <c:noMultiLvlLbl val="0"/>
      </c:catAx>
      <c:valAx>
        <c:axId val="55861807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64874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Analysis!PivotTable9</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Headcount</a:t>
            </a:r>
            <a:r>
              <a:rPr lang="en-US" b="1" baseline="0"/>
              <a:t> And Dept per Salary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99518810148729E-2"/>
          <c:y val="0.19533573928258968"/>
          <c:w val="0.75766185476815395"/>
          <c:h val="0.40201443569553807"/>
        </c:manualLayout>
      </c:layout>
      <c:barChart>
        <c:barDir val="col"/>
        <c:grouping val="clustered"/>
        <c:varyColors val="0"/>
        <c:ser>
          <c:idx val="0"/>
          <c:order val="0"/>
          <c:tx>
            <c:strRef>
              <c:f>'HR Analysis'!$B$3</c:f>
              <c:strCache>
                <c:ptCount val="1"/>
                <c:pt idx="0">
                  <c:v>Count of Emp ID</c:v>
                </c:pt>
              </c:strCache>
            </c:strRef>
          </c:tx>
          <c:spPr>
            <a:solidFill>
              <a:schemeClr val="accent3">
                <a:tint val="77000"/>
              </a:schemeClr>
            </a:solidFill>
            <a:ln>
              <a:noFill/>
            </a:ln>
            <a:effectLst/>
          </c:spPr>
          <c:invertIfNegative val="0"/>
          <c:cat>
            <c:strRef>
              <c:f>'HR Analysis'!$A$4:$A$10</c:f>
              <c:strCache>
                <c:ptCount val="6"/>
                <c:pt idx="0">
                  <c:v>Finance</c:v>
                </c:pt>
                <c:pt idx="1">
                  <c:v>Human Resources</c:v>
                </c:pt>
                <c:pt idx="2">
                  <c:v>Information Technology</c:v>
                </c:pt>
                <c:pt idx="3">
                  <c:v>Marketing</c:v>
                </c:pt>
                <c:pt idx="4">
                  <c:v>Operations</c:v>
                </c:pt>
                <c:pt idx="5">
                  <c:v>Sales</c:v>
                </c:pt>
              </c:strCache>
            </c:strRef>
          </c:cat>
          <c:val>
            <c:numRef>
              <c:f>'HR Analysis'!$B$4:$B$10</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87CF-4BA6-8E7D-9B968EDE285B}"/>
            </c:ext>
          </c:extLst>
        </c:ser>
        <c:dLbls>
          <c:showLegendKey val="0"/>
          <c:showVal val="0"/>
          <c:showCatName val="0"/>
          <c:showSerName val="0"/>
          <c:showPercent val="0"/>
          <c:showBubbleSize val="0"/>
        </c:dLbls>
        <c:gapWidth val="219"/>
        <c:overlap val="-27"/>
        <c:axId val="603368767"/>
        <c:axId val="558606079"/>
      </c:barChart>
      <c:lineChart>
        <c:grouping val="standard"/>
        <c:varyColors val="0"/>
        <c:ser>
          <c:idx val="1"/>
          <c:order val="1"/>
          <c:tx>
            <c:strRef>
              <c:f>'HR Analysis'!$C$3</c:f>
              <c:strCache>
                <c:ptCount val="1"/>
                <c:pt idx="0">
                  <c:v>Sum of Salary</c:v>
                </c:pt>
              </c:strCache>
            </c:strRef>
          </c:tx>
          <c:spPr>
            <a:ln w="28575" cap="rnd">
              <a:solidFill>
                <a:schemeClr val="accent3">
                  <a:shade val="76000"/>
                </a:schemeClr>
              </a:solidFill>
              <a:round/>
            </a:ln>
            <a:effectLst/>
          </c:spPr>
          <c:marker>
            <c:symbol val="none"/>
          </c:marker>
          <c:cat>
            <c:strRef>
              <c:f>'HR Analysis'!$A$4:$A$10</c:f>
              <c:strCache>
                <c:ptCount val="6"/>
                <c:pt idx="0">
                  <c:v>Finance</c:v>
                </c:pt>
                <c:pt idx="1">
                  <c:v>Human Resources</c:v>
                </c:pt>
                <c:pt idx="2">
                  <c:v>Information Technology</c:v>
                </c:pt>
                <c:pt idx="3">
                  <c:v>Marketing</c:v>
                </c:pt>
                <c:pt idx="4">
                  <c:v>Operations</c:v>
                </c:pt>
                <c:pt idx="5">
                  <c:v>Sales</c:v>
                </c:pt>
              </c:strCache>
            </c:strRef>
          </c:cat>
          <c:val>
            <c:numRef>
              <c:f>'HR Analysis'!$C$4:$C$10</c:f>
              <c:numCache>
                <c:formatCode>"$"#,##0</c:formatCode>
                <c:ptCount val="6"/>
                <c:pt idx="0">
                  <c:v>1481950.7899999998</c:v>
                </c:pt>
                <c:pt idx="1">
                  <c:v>1539652.93</c:v>
                </c:pt>
                <c:pt idx="2">
                  <c:v>2898461.6500000004</c:v>
                </c:pt>
                <c:pt idx="3">
                  <c:v>1622750.93</c:v>
                </c:pt>
                <c:pt idx="4">
                  <c:v>2321447.86</c:v>
                </c:pt>
                <c:pt idx="5">
                  <c:v>2676325.4400000004</c:v>
                </c:pt>
              </c:numCache>
            </c:numRef>
          </c:val>
          <c:smooth val="0"/>
          <c:extLst>
            <c:ext xmlns:c16="http://schemas.microsoft.com/office/drawing/2014/chart" uri="{C3380CC4-5D6E-409C-BE32-E72D297353CC}">
              <c16:uniqueId val="{00000001-87CF-4BA6-8E7D-9B968EDE285B}"/>
            </c:ext>
          </c:extLst>
        </c:ser>
        <c:dLbls>
          <c:showLegendKey val="0"/>
          <c:showVal val="0"/>
          <c:showCatName val="0"/>
          <c:showSerName val="0"/>
          <c:showPercent val="0"/>
          <c:showBubbleSize val="0"/>
        </c:dLbls>
        <c:marker val="1"/>
        <c:smooth val="0"/>
        <c:axId val="510337359"/>
        <c:axId val="558624799"/>
      </c:lineChart>
      <c:catAx>
        <c:axId val="603368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558606079"/>
        <c:crosses val="autoZero"/>
        <c:auto val="1"/>
        <c:lblAlgn val="ctr"/>
        <c:lblOffset val="100"/>
        <c:noMultiLvlLbl val="0"/>
      </c:catAx>
      <c:valAx>
        <c:axId val="558606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LID4096"/>
          </a:p>
        </c:txPr>
        <c:crossAx val="603368767"/>
        <c:crosses val="autoZero"/>
        <c:crossBetween val="between"/>
      </c:valAx>
      <c:valAx>
        <c:axId val="55862479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crossAx val="510337359"/>
        <c:crosses val="max"/>
        <c:crossBetween val="between"/>
      </c:valAx>
      <c:catAx>
        <c:axId val="510337359"/>
        <c:scaling>
          <c:orientation val="minMax"/>
        </c:scaling>
        <c:delete val="1"/>
        <c:axPos val="t"/>
        <c:numFmt formatCode="General" sourceLinked="1"/>
        <c:majorTickMark val="out"/>
        <c:minorTickMark val="none"/>
        <c:tickLblPos val="nextTo"/>
        <c:crossAx val="55862479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Analysis!PivotTable9</c:name>
    <c:fmtId val="39"/>
  </c:pivotSource>
  <c:chart>
    <c:title>
      <c:tx>
        <c:rich>
          <a:bodyPr rot="0" spcFirstLastPara="1" vertOverflow="ellipsis" vert="horz" wrap="square" anchor="ctr" anchorCtr="1"/>
          <a:lstStyle/>
          <a:p>
            <a:pPr>
              <a:defRPr sz="1600" b="1" i="0" u="none" strike="noStrike" kern="1200" spc="0" baseline="0">
                <a:solidFill>
                  <a:srgbClr val="DFF2DE"/>
                </a:solidFill>
                <a:latin typeface="+mn-lt"/>
                <a:ea typeface="+mn-ea"/>
                <a:cs typeface="+mn-cs"/>
              </a:defRPr>
            </a:pPr>
            <a:r>
              <a:rPr lang="en-US" sz="1600"/>
              <a:t>Headcount And Dept per Salary</a:t>
            </a:r>
          </a:p>
        </c:rich>
      </c:tx>
      <c:layout>
        <c:manualLayout>
          <c:xMode val="edge"/>
          <c:yMode val="edge"/>
          <c:x val="0.19957891133173572"/>
          <c:y val="2.8473533242598507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DFF2DE"/>
              </a:solidFill>
              <a:latin typeface="+mn-lt"/>
              <a:ea typeface="+mn-ea"/>
              <a:cs typeface="+mn-cs"/>
            </a:defRPr>
          </a:pPr>
          <a:endParaRPr lang="LID4096"/>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F2D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FF2D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099518810148729E-2"/>
          <c:y val="0.19533573928258968"/>
          <c:w val="0.75766185476815395"/>
          <c:h val="0.40201443569553807"/>
        </c:manualLayout>
      </c:layout>
      <c:barChart>
        <c:barDir val="col"/>
        <c:grouping val="clustered"/>
        <c:varyColors val="0"/>
        <c:ser>
          <c:idx val="0"/>
          <c:order val="0"/>
          <c:tx>
            <c:strRef>
              <c:f>'HR Analysis'!$B$3</c:f>
              <c:strCache>
                <c:ptCount val="1"/>
                <c:pt idx="0">
                  <c:v>Count of Emp ID</c:v>
                </c:pt>
              </c:strCache>
            </c:strRef>
          </c:tx>
          <c:spPr>
            <a:solidFill>
              <a:schemeClr val="accent3">
                <a:lumMod val="60000"/>
                <a:lumOff val="40000"/>
              </a:schemeClr>
            </a:solidFill>
            <a:ln>
              <a:noFill/>
            </a:ln>
            <a:effectLst/>
          </c:spPr>
          <c:invertIfNegative val="0"/>
          <c:cat>
            <c:strRef>
              <c:f>'HR Analysis'!$A$4:$A$10</c:f>
              <c:strCache>
                <c:ptCount val="6"/>
                <c:pt idx="0">
                  <c:v>Finance</c:v>
                </c:pt>
                <c:pt idx="1">
                  <c:v>Human Resources</c:v>
                </c:pt>
                <c:pt idx="2">
                  <c:v>Information Technology</c:v>
                </c:pt>
                <c:pt idx="3">
                  <c:v>Marketing</c:v>
                </c:pt>
                <c:pt idx="4">
                  <c:v>Operations</c:v>
                </c:pt>
                <c:pt idx="5">
                  <c:v>Sales</c:v>
                </c:pt>
              </c:strCache>
            </c:strRef>
          </c:cat>
          <c:val>
            <c:numRef>
              <c:f>'HR Analysis'!$B$4:$B$10</c:f>
              <c:numCache>
                <c:formatCode>General</c:formatCode>
                <c:ptCount val="6"/>
                <c:pt idx="0">
                  <c:v>17</c:v>
                </c:pt>
                <c:pt idx="1">
                  <c:v>18</c:v>
                </c:pt>
                <c:pt idx="2">
                  <c:v>36</c:v>
                </c:pt>
                <c:pt idx="3">
                  <c:v>19</c:v>
                </c:pt>
                <c:pt idx="4">
                  <c:v>29</c:v>
                </c:pt>
                <c:pt idx="5">
                  <c:v>31</c:v>
                </c:pt>
              </c:numCache>
            </c:numRef>
          </c:val>
          <c:extLst>
            <c:ext xmlns:c16="http://schemas.microsoft.com/office/drawing/2014/chart" uri="{C3380CC4-5D6E-409C-BE32-E72D297353CC}">
              <c16:uniqueId val="{00000000-9DF7-4007-83C1-7813F379349D}"/>
            </c:ext>
          </c:extLst>
        </c:ser>
        <c:dLbls>
          <c:showLegendKey val="0"/>
          <c:showVal val="0"/>
          <c:showCatName val="0"/>
          <c:showSerName val="0"/>
          <c:showPercent val="0"/>
          <c:showBubbleSize val="0"/>
        </c:dLbls>
        <c:gapWidth val="219"/>
        <c:overlap val="-27"/>
        <c:axId val="603368767"/>
        <c:axId val="558606079"/>
      </c:barChart>
      <c:lineChart>
        <c:grouping val="standard"/>
        <c:varyColors val="0"/>
        <c:ser>
          <c:idx val="1"/>
          <c:order val="1"/>
          <c:tx>
            <c:strRef>
              <c:f>'HR Analysis'!$C$3</c:f>
              <c:strCache>
                <c:ptCount val="1"/>
                <c:pt idx="0">
                  <c:v>Sum of Salary</c:v>
                </c:pt>
              </c:strCache>
            </c:strRef>
          </c:tx>
          <c:spPr>
            <a:ln w="28575" cap="rnd">
              <a:solidFill>
                <a:schemeClr val="accent3">
                  <a:tint val="77000"/>
                </a:schemeClr>
              </a:solidFill>
              <a:round/>
            </a:ln>
            <a:effectLst/>
          </c:spPr>
          <c:marker>
            <c:symbol val="none"/>
          </c:marker>
          <c:cat>
            <c:strRef>
              <c:f>'HR Analysis'!$A$4:$A$10</c:f>
              <c:strCache>
                <c:ptCount val="6"/>
                <c:pt idx="0">
                  <c:v>Finance</c:v>
                </c:pt>
                <c:pt idx="1">
                  <c:v>Human Resources</c:v>
                </c:pt>
                <c:pt idx="2">
                  <c:v>Information Technology</c:v>
                </c:pt>
                <c:pt idx="3">
                  <c:v>Marketing</c:v>
                </c:pt>
                <c:pt idx="4">
                  <c:v>Operations</c:v>
                </c:pt>
                <c:pt idx="5">
                  <c:v>Sales</c:v>
                </c:pt>
              </c:strCache>
            </c:strRef>
          </c:cat>
          <c:val>
            <c:numRef>
              <c:f>'HR Analysis'!$C$4:$C$10</c:f>
              <c:numCache>
                <c:formatCode>"$"#,##0</c:formatCode>
                <c:ptCount val="6"/>
                <c:pt idx="0">
                  <c:v>1481950.7899999998</c:v>
                </c:pt>
                <c:pt idx="1">
                  <c:v>1539652.93</c:v>
                </c:pt>
                <c:pt idx="2">
                  <c:v>2898461.6500000004</c:v>
                </c:pt>
                <c:pt idx="3">
                  <c:v>1622750.93</c:v>
                </c:pt>
                <c:pt idx="4">
                  <c:v>2321447.86</c:v>
                </c:pt>
                <c:pt idx="5">
                  <c:v>2676325.4400000004</c:v>
                </c:pt>
              </c:numCache>
            </c:numRef>
          </c:val>
          <c:smooth val="0"/>
          <c:extLst>
            <c:ext xmlns:c16="http://schemas.microsoft.com/office/drawing/2014/chart" uri="{C3380CC4-5D6E-409C-BE32-E72D297353CC}">
              <c16:uniqueId val="{00000001-9DF7-4007-83C1-7813F379349D}"/>
            </c:ext>
          </c:extLst>
        </c:ser>
        <c:dLbls>
          <c:showLegendKey val="0"/>
          <c:showVal val="0"/>
          <c:showCatName val="0"/>
          <c:showSerName val="0"/>
          <c:showPercent val="0"/>
          <c:showBubbleSize val="0"/>
        </c:dLbls>
        <c:marker val="1"/>
        <c:smooth val="0"/>
        <c:axId val="510337359"/>
        <c:axId val="558624799"/>
      </c:lineChart>
      <c:catAx>
        <c:axId val="6033687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DFF2DE"/>
                </a:solidFill>
                <a:latin typeface="+mn-lt"/>
                <a:ea typeface="+mn-ea"/>
                <a:cs typeface="+mn-cs"/>
              </a:defRPr>
            </a:pPr>
            <a:endParaRPr lang="LID4096"/>
          </a:p>
        </c:txPr>
        <c:crossAx val="558606079"/>
        <c:crosses val="autoZero"/>
        <c:auto val="1"/>
        <c:lblAlgn val="ctr"/>
        <c:lblOffset val="100"/>
        <c:noMultiLvlLbl val="0"/>
      </c:catAx>
      <c:valAx>
        <c:axId val="558606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DFF2DE"/>
                </a:solidFill>
                <a:latin typeface="+mn-lt"/>
                <a:ea typeface="+mn-ea"/>
                <a:cs typeface="+mn-cs"/>
              </a:defRPr>
            </a:pPr>
            <a:endParaRPr lang="LID4096"/>
          </a:p>
        </c:txPr>
        <c:crossAx val="603368767"/>
        <c:crosses val="autoZero"/>
        <c:crossBetween val="between"/>
      </c:valAx>
      <c:valAx>
        <c:axId val="55862479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DFF2DE"/>
                </a:solidFill>
                <a:latin typeface="+mn-lt"/>
                <a:ea typeface="+mn-ea"/>
                <a:cs typeface="+mn-cs"/>
              </a:defRPr>
            </a:pPr>
            <a:endParaRPr lang="LID4096"/>
          </a:p>
        </c:txPr>
        <c:crossAx val="510337359"/>
        <c:crosses val="max"/>
        <c:crossBetween val="between"/>
      </c:valAx>
      <c:catAx>
        <c:axId val="510337359"/>
        <c:scaling>
          <c:orientation val="minMax"/>
        </c:scaling>
        <c:delete val="1"/>
        <c:axPos val="t"/>
        <c:numFmt formatCode="General" sourceLinked="1"/>
        <c:majorTickMark val="out"/>
        <c:minorTickMark val="none"/>
        <c:tickLblPos val="nextTo"/>
        <c:crossAx val="55862479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rgbClr val="DFF2DE"/>
          </a:solidFill>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Analysis!PivotTable10</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Attrition Rate By Dept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Analysis'!$B$14:$B$15</c:f>
              <c:strCache>
                <c:ptCount val="1"/>
                <c:pt idx="0">
                  <c:v>NO</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'HR Analysis'!$A$16:$A$22</c:f>
              <c:strCache>
                <c:ptCount val="6"/>
                <c:pt idx="0">
                  <c:v>Finance</c:v>
                </c:pt>
                <c:pt idx="1">
                  <c:v>Human Resources</c:v>
                </c:pt>
                <c:pt idx="2">
                  <c:v>Information Technology</c:v>
                </c:pt>
                <c:pt idx="3">
                  <c:v>Marketing</c:v>
                </c:pt>
                <c:pt idx="4">
                  <c:v>Operations</c:v>
                </c:pt>
                <c:pt idx="5">
                  <c:v>Sales</c:v>
                </c:pt>
              </c:strCache>
            </c:strRef>
          </c:cat>
          <c:val>
            <c:numRef>
              <c:f>'HR Analysis'!$B$16:$B$22</c:f>
              <c:numCache>
                <c:formatCode>0%</c:formatCode>
                <c:ptCount val="6"/>
                <c:pt idx="0">
                  <c:v>0.82352941176470584</c:v>
                </c:pt>
                <c:pt idx="1">
                  <c:v>0.83333333333333337</c:v>
                </c:pt>
                <c:pt idx="2">
                  <c:v>0.77777777777777779</c:v>
                </c:pt>
                <c:pt idx="3">
                  <c:v>0.84210526315789469</c:v>
                </c:pt>
                <c:pt idx="4">
                  <c:v>0.62068965517241381</c:v>
                </c:pt>
                <c:pt idx="5">
                  <c:v>0.80645161290322576</c:v>
                </c:pt>
              </c:numCache>
            </c:numRef>
          </c:val>
          <c:extLst>
            <c:ext xmlns:c16="http://schemas.microsoft.com/office/drawing/2014/chart" uri="{C3380CC4-5D6E-409C-BE32-E72D297353CC}">
              <c16:uniqueId val="{00000004-0088-40BD-A856-FA0F1E3019DC}"/>
            </c:ext>
          </c:extLst>
        </c:ser>
        <c:ser>
          <c:idx val="1"/>
          <c:order val="1"/>
          <c:tx>
            <c:strRef>
              <c:f>'HR Analysis'!$C$14:$C$15</c:f>
              <c:strCache>
                <c:ptCount val="1"/>
                <c:pt idx="0">
                  <c:v>YES</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'HR Analysis'!$A$16:$A$22</c:f>
              <c:strCache>
                <c:ptCount val="6"/>
                <c:pt idx="0">
                  <c:v>Finance</c:v>
                </c:pt>
                <c:pt idx="1">
                  <c:v>Human Resources</c:v>
                </c:pt>
                <c:pt idx="2">
                  <c:v>Information Technology</c:v>
                </c:pt>
                <c:pt idx="3">
                  <c:v>Marketing</c:v>
                </c:pt>
                <c:pt idx="4">
                  <c:v>Operations</c:v>
                </c:pt>
                <c:pt idx="5">
                  <c:v>Sales</c:v>
                </c:pt>
              </c:strCache>
            </c:strRef>
          </c:cat>
          <c:val>
            <c:numRef>
              <c:f>'HR Analysis'!$C$16:$C$22</c:f>
              <c:numCache>
                <c:formatCode>0%</c:formatCode>
                <c:ptCount val="6"/>
                <c:pt idx="0">
                  <c:v>0.17647058823529413</c:v>
                </c:pt>
                <c:pt idx="1">
                  <c:v>0.16666666666666666</c:v>
                </c:pt>
                <c:pt idx="2">
                  <c:v>0.22222222222222221</c:v>
                </c:pt>
                <c:pt idx="3">
                  <c:v>0.15789473684210525</c:v>
                </c:pt>
                <c:pt idx="4">
                  <c:v>0.37931034482758619</c:v>
                </c:pt>
                <c:pt idx="5">
                  <c:v>0.19354838709677419</c:v>
                </c:pt>
              </c:numCache>
            </c:numRef>
          </c:val>
          <c:extLst>
            <c:ext xmlns:c16="http://schemas.microsoft.com/office/drawing/2014/chart" uri="{C3380CC4-5D6E-409C-BE32-E72D297353CC}">
              <c16:uniqueId val="{00000001-16F6-43F7-85E3-8CA43734DC79}"/>
            </c:ext>
          </c:extLst>
        </c:ser>
        <c:dLbls>
          <c:dLblPos val="outEnd"/>
          <c:showLegendKey val="0"/>
          <c:showVal val="1"/>
          <c:showCatName val="0"/>
          <c:showSerName val="0"/>
          <c:showPercent val="0"/>
          <c:showBubbleSize val="0"/>
        </c:dLbls>
        <c:gapWidth val="182"/>
        <c:axId val="1486790720"/>
        <c:axId val="1393164224"/>
      </c:barChart>
      <c:catAx>
        <c:axId val="148679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3164224"/>
        <c:crosses val="autoZero"/>
        <c:auto val="1"/>
        <c:lblAlgn val="ctr"/>
        <c:lblOffset val="100"/>
        <c:noMultiLvlLbl val="0"/>
      </c:catAx>
      <c:valAx>
        <c:axId val="1393164224"/>
        <c:scaling>
          <c:orientation val="minMax"/>
        </c:scaling>
        <c:delete val="0"/>
        <c:axPos val="b"/>
        <c:numFmt formatCode="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6790720"/>
        <c:crosses val="autoZero"/>
        <c:crossBetween val="between"/>
      </c:valAx>
      <c:spPr>
        <a:solidFill>
          <a:schemeClr val="accent3">
            <a:lumMod val="75000"/>
          </a:schemeClr>
        </a:solidFill>
        <a:ln>
          <a:noFill/>
        </a:ln>
        <a:effectLst/>
      </c:spPr>
    </c:plotArea>
    <c:plotVisOnly val="1"/>
    <c:dispBlanksAs val="gap"/>
    <c:showDLblsOverMax val="0"/>
    <c:extLst/>
  </c:chart>
  <c:spPr>
    <a:solidFill>
      <a:schemeClr val="accent3">
        <a:lumMod val="75000"/>
      </a:schemeClr>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Analysis!PivotTable15</c:name>
    <c:fmtId val="18"/>
  </c:pivotSource>
  <c:chart>
    <c:title>
      <c:tx>
        <c:rich>
          <a:bodyPr rot="0" spcFirstLastPara="1" vertOverflow="ellipsis" vert="horz" wrap="square" anchor="ctr" anchorCtr="1"/>
          <a:lstStyle/>
          <a:p>
            <a:pPr>
              <a:defRPr sz="1400" b="1" i="0" u="none" strike="noStrike" kern="1200" spc="0" baseline="0">
                <a:solidFill>
                  <a:srgbClr val="DFF2DE"/>
                </a:solidFill>
                <a:latin typeface="+mn-lt"/>
                <a:ea typeface="+mn-ea"/>
                <a:cs typeface="+mn-cs"/>
              </a:defRPr>
            </a:pPr>
            <a:r>
              <a:rPr lang="en-US"/>
              <a:t>Performance By Status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DFF2DE"/>
              </a:solidFill>
              <a:latin typeface="+mn-lt"/>
              <a:ea typeface="+mn-ea"/>
              <a:cs typeface="+mn-cs"/>
            </a:defRPr>
          </a:pPr>
          <a:endParaRPr lang="LID4096"/>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hade val="65000"/>
            </a:schemeClr>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3">
              <a:tint val="65000"/>
            </a:schemeClr>
          </a:solidFill>
          <a:ln w="19050">
            <a:solidFill>
              <a:schemeClr val="lt1"/>
            </a:solidFill>
          </a:ln>
          <a:effectLst/>
        </c:spPr>
      </c:pivotFmt>
      <c:pivotFmt>
        <c:idx val="1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shade val="65000"/>
            </a:schemeClr>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3">
              <a:tint val="65000"/>
            </a:schemeClr>
          </a:solidFill>
          <a:ln w="19050">
            <a:solidFill>
              <a:schemeClr val="lt1"/>
            </a:solidFill>
          </a:ln>
          <a:effectLst/>
        </c:spPr>
      </c:pivotFmt>
      <c:pivotFmt>
        <c:idx val="2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DFF2DE"/>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shade val="65000"/>
            </a:schemeClr>
          </a:solidFill>
          <a:ln w="19050">
            <a:solidFill>
              <a:schemeClr val="lt1"/>
            </a:solidFill>
          </a:ln>
          <a:effectLst/>
        </c:spPr>
      </c:pivotFmt>
      <c:pivotFmt>
        <c:idx val="23"/>
        <c:spPr>
          <a:solidFill>
            <a:schemeClr val="accent3"/>
          </a:solidFill>
          <a:ln w="19050">
            <a:solidFill>
              <a:schemeClr val="lt1"/>
            </a:solidFill>
          </a:ln>
          <a:effectLst/>
        </c:spPr>
      </c:pivotFmt>
      <c:pivotFmt>
        <c:idx val="24"/>
        <c:spPr>
          <a:solidFill>
            <a:schemeClr val="accent3">
              <a:tint val="65000"/>
            </a:schemeClr>
          </a:solidFill>
          <a:ln w="19050">
            <a:solidFill>
              <a:schemeClr val="lt1"/>
            </a:solidFill>
          </a:ln>
          <a:effectLst/>
        </c:spPr>
      </c:pivotFmt>
      <c:pivotFmt>
        <c:idx val="25"/>
        <c:spPr>
          <a:solidFill>
            <a:schemeClr val="accent3"/>
          </a:solidFill>
          <a:ln w="19050">
            <a:solidFill>
              <a:schemeClr val="lt1"/>
            </a:solidFill>
          </a:ln>
          <a:effectLst/>
        </c:spPr>
      </c:pivotFmt>
      <c:pivotFmt>
        <c:idx val="26"/>
        <c:spPr>
          <a:solidFill>
            <a:schemeClr val="accent3">
              <a:tint val="77000"/>
            </a:schemeClr>
          </a:solidFill>
          <a:ln w="19050">
            <a:solidFill>
              <a:schemeClr val="lt1"/>
            </a:solidFill>
          </a:ln>
          <a:effectLst/>
        </c:spPr>
      </c:pivotFmt>
    </c:pivotFmts>
    <c:plotArea>
      <c:layout/>
      <c:pieChart>
        <c:varyColors val="1"/>
        <c:ser>
          <c:idx val="0"/>
          <c:order val="0"/>
          <c:tx>
            <c:strRef>
              <c:f>'HR Analysis'!$B$27</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6049-4C09-805F-2337B93558E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049-4C09-805F-2337B93558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49-4C09-805F-2337B93558EC}"/>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363A-497D-9BC3-FCA462D5E7AC}"/>
              </c:ext>
            </c:extLst>
          </c:dPt>
          <c:dPt>
            <c:idx val="4"/>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9-363A-497D-9BC3-FCA462D5E7AC}"/>
              </c:ext>
            </c:extLst>
          </c:dPt>
          <c:dLbls>
            <c:spPr>
              <a:noFill/>
              <a:ln>
                <a:noFill/>
              </a:ln>
              <a:effectLst/>
            </c:spPr>
            <c:txPr>
              <a:bodyPr rot="0" spcFirstLastPara="1" vertOverflow="ellipsis" vert="horz" wrap="square" anchor="ctr" anchorCtr="1"/>
              <a:lstStyle/>
              <a:p>
                <a:pPr>
                  <a:defRPr sz="900" b="1" i="0" u="none" strike="noStrike" kern="1200" baseline="0">
                    <a:solidFill>
                      <a:srgbClr val="DFF2DE"/>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 Analysis'!$A$28:$A$33</c:f>
              <c:strCache>
                <c:ptCount val="5"/>
                <c:pt idx="0">
                  <c:v> ACTIVE </c:v>
                </c:pt>
                <c:pt idx="1">
                  <c:v> LEFT </c:v>
                </c:pt>
                <c:pt idx="2">
                  <c:v>active</c:v>
                </c:pt>
                <c:pt idx="3">
                  <c:v>Left</c:v>
                </c:pt>
                <c:pt idx="4">
                  <c:v>Resigned</c:v>
                </c:pt>
              </c:strCache>
            </c:strRef>
          </c:cat>
          <c:val>
            <c:numRef>
              <c:f>'HR Analysis'!$B$28:$B$33</c:f>
              <c:numCache>
                <c:formatCode>General</c:formatCode>
                <c:ptCount val="5"/>
                <c:pt idx="0">
                  <c:v>60.275862068965516</c:v>
                </c:pt>
                <c:pt idx="1">
                  <c:v>64.36363636363636</c:v>
                </c:pt>
                <c:pt idx="2">
                  <c:v>70.229885057471265</c:v>
                </c:pt>
                <c:pt idx="3">
                  <c:v>67.769230769230774</c:v>
                </c:pt>
                <c:pt idx="4">
                  <c:v>76.400000000000006</c:v>
                </c:pt>
              </c:numCache>
            </c:numRef>
          </c:val>
          <c:extLst>
            <c:ext xmlns:c16="http://schemas.microsoft.com/office/drawing/2014/chart" uri="{C3380CC4-5D6E-409C-BE32-E72D297353CC}">
              <c16:uniqueId val="{00000006-6049-4C09-805F-2337B93558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DFF2DE"/>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rgbClr val="DFF2DE"/>
          </a:solidFill>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[HR_Analytics_Capstone_Raw_Data HR Analaysis JIBRIL HALEEMAH (2).xlsx]HR Analysis!PivotTable17</c:name>
    <c:fmtId val="24"/>
  </c:pivotSource>
  <c:chart>
    <c:title>
      <c:tx>
        <c:rich>
          <a:bodyPr rot="0" spcFirstLastPara="1" vertOverflow="ellipsis" vert="horz" wrap="square" anchor="ctr" anchorCtr="1"/>
          <a:lstStyle/>
          <a:p>
            <a:pPr>
              <a:defRPr sz="1400" b="1" i="0" u="none" strike="noStrike" kern="1200" spc="0" baseline="0">
                <a:solidFill>
                  <a:srgbClr val="EEF8EE"/>
                </a:solidFill>
                <a:latin typeface="+mn-lt"/>
                <a:ea typeface="+mn-ea"/>
                <a:cs typeface="+mn-cs"/>
              </a:defRPr>
            </a:pPr>
            <a:r>
              <a:rPr lang="en-US"/>
              <a:t>Bonus Payout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EF8EE"/>
              </a:solidFill>
              <a:latin typeface="+mn-lt"/>
              <a:ea typeface="+mn-ea"/>
              <a:cs typeface="+mn-cs"/>
            </a:defRPr>
          </a:pPr>
          <a:endParaRPr lang="LID4096"/>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rgbClr val="EEF8EE"/>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98504266831192"/>
          <c:y val="0.13384159747161042"/>
          <c:w val="0.56119870555013074"/>
          <c:h val="0.69504039150420271"/>
        </c:manualLayout>
      </c:layout>
      <c:barChart>
        <c:barDir val="bar"/>
        <c:grouping val="clustered"/>
        <c:varyColors val="0"/>
        <c:ser>
          <c:idx val="0"/>
          <c:order val="0"/>
          <c:tx>
            <c:strRef>
              <c:f>'HR Analysis'!$B$38</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rgbClr val="EEF8EE"/>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Analysis'!$A$39:$A$44</c:f>
              <c:strCache>
                <c:ptCount val="5"/>
                <c:pt idx="0">
                  <c:v>Achieving</c:v>
                </c:pt>
                <c:pt idx="1">
                  <c:v>Developing</c:v>
                </c:pt>
                <c:pt idx="2">
                  <c:v>Exceeding</c:v>
                </c:pt>
                <c:pt idx="3">
                  <c:v>Needs Improvement</c:v>
                </c:pt>
                <c:pt idx="4">
                  <c:v>Outstanding</c:v>
                </c:pt>
              </c:strCache>
            </c:strRef>
          </c:cat>
          <c:val>
            <c:numRef>
              <c:f>'HR Analysis'!$B$39:$B$44</c:f>
              <c:numCache>
                <c:formatCode>"$"#,##0.00</c:formatCode>
                <c:ptCount val="5"/>
                <c:pt idx="0">
                  <c:v>165216.93250000002</c:v>
                </c:pt>
                <c:pt idx="1">
                  <c:v>84593.268800000005</c:v>
                </c:pt>
                <c:pt idx="2">
                  <c:v>144689.42879999999</c:v>
                </c:pt>
                <c:pt idx="3">
                  <c:v>0</c:v>
                </c:pt>
                <c:pt idx="4">
                  <c:v>92411.511600000013</c:v>
                </c:pt>
              </c:numCache>
            </c:numRef>
          </c:val>
          <c:extLst>
            <c:ext xmlns:c16="http://schemas.microsoft.com/office/drawing/2014/chart" uri="{C3380CC4-5D6E-409C-BE32-E72D297353CC}">
              <c16:uniqueId val="{00000000-25C0-4587-8A12-8DA1BC5899EC}"/>
            </c:ext>
          </c:extLst>
        </c:ser>
        <c:dLbls>
          <c:dLblPos val="outEnd"/>
          <c:showLegendKey val="0"/>
          <c:showVal val="1"/>
          <c:showCatName val="0"/>
          <c:showSerName val="0"/>
          <c:showPercent val="0"/>
          <c:showBubbleSize val="0"/>
        </c:dLbls>
        <c:gapWidth val="182"/>
        <c:axId val="648744287"/>
        <c:axId val="558618079"/>
      </c:barChart>
      <c:catAx>
        <c:axId val="648744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EEF8EE"/>
                </a:solidFill>
                <a:latin typeface="+mn-lt"/>
                <a:ea typeface="+mn-ea"/>
                <a:cs typeface="+mn-cs"/>
              </a:defRPr>
            </a:pPr>
            <a:endParaRPr lang="LID4096"/>
          </a:p>
        </c:txPr>
        <c:crossAx val="558618079"/>
        <c:crosses val="autoZero"/>
        <c:auto val="1"/>
        <c:lblAlgn val="ctr"/>
        <c:lblOffset val="100"/>
        <c:noMultiLvlLbl val="0"/>
      </c:catAx>
      <c:valAx>
        <c:axId val="55861807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EEF8EE"/>
                </a:solidFill>
                <a:latin typeface="+mn-lt"/>
                <a:ea typeface="+mn-ea"/>
                <a:cs typeface="+mn-cs"/>
              </a:defRPr>
            </a:pPr>
            <a:endParaRPr lang="LID4096"/>
          </a:p>
        </c:txPr>
        <c:crossAx val="64874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b="1">
          <a:solidFill>
            <a:srgbClr val="EEF8EE"/>
          </a:solidFill>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5">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7.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11" Type="http://schemas.openxmlformats.org/officeDocument/2006/relationships/image" Target="../media/image6.png"/><Relationship Id="rId5" Type="http://schemas.openxmlformats.org/officeDocument/2006/relationships/image" Target="../media/image1.png"/><Relationship Id="rId10" Type="http://schemas.openxmlformats.org/officeDocument/2006/relationships/hyperlink" Target="#DB_Formula!A1"/><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12</xdr:col>
      <xdr:colOff>0</xdr:colOff>
      <xdr:row>4</xdr:row>
      <xdr:rowOff>0</xdr:rowOff>
    </xdr:from>
    <xdr:to>
      <xdr:col>19</xdr:col>
      <xdr:colOff>304800</xdr:colOff>
      <xdr:row>18</xdr:row>
      <xdr:rowOff>76200</xdr:rowOff>
    </xdr:to>
    <xdr:graphicFrame macro="">
      <xdr:nvGraphicFramePr>
        <xdr:cNvPr id="3" name="Chart 2">
          <a:extLst>
            <a:ext uri="{FF2B5EF4-FFF2-40B4-BE49-F238E27FC236}">
              <a16:creationId xmlns:a16="http://schemas.microsoft.com/office/drawing/2014/main" id="{885E51F0-F6D0-4945-8E40-203F77786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25</xdr:row>
      <xdr:rowOff>0</xdr:rowOff>
    </xdr:from>
    <xdr:to>
      <xdr:col>10</xdr:col>
      <xdr:colOff>285751</xdr:colOff>
      <xdr:row>39</xdr:row>
      <xdr:rowOff>76200</xdr:rowOff>
    </xdr:to>
    <xdr:graphicFrame macro="">
      <xdr:nvGraphicFramePr>
        <xdr:cNvPr id="4" name="Chart 3">
          <a:extLst>
            <a:ext uri="{FF2B5EF4-FFF2-40B4-BE49-F238E27FC236}">
              <a16:creationId xmlns:a16="http://schemas.microsoft.com/office/drawing/2014/main" id="{00B21032-D5EE-420D-BB21-44451AF68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25</xdr:row>
      <xdr:rowOff>0</xdr:rowOff>
    </xdr:from>
    <xdr:to>
      <xdr:col>22</xdr:col>
      <xdr:colOff>285750</xdr:colOff>
      <xdr:row>39</xdr:row>
      <xdr:rowOff>76200</xdr:rowOff>
    </xdr:to>
    <xdr:graphicFrame macro="">
      <xdr:nvGraphicFramePr>
        <xdr:cNvPr id="5" name="Chart 4">
          <a:extLst>
            <a:ext uri="{FF2B5EF4-FFF2-40B4-BE49-F238E27FC236}">
              <a16:creationId xmlns:a16="http://schemas.microsoft.com/office/drawing/2014/main" id="{7412F8D1-9B6F-4B87-B2E8-9C6C8C071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7</xdr:row>
      <xdr:rowOff>0</xdr:rowOff>
    </xdr:from>
    <xdr:to>
      <xdr:col>10</xdr:col>
      <xdr:colOff>31750</xdr:colOff>
      <xdr:row>21</xdr:row>
      <xdr:rowOff>76200</xdr:rowOff>
    </xdr:to>
    <xdr:graphicFrame macro="">
      <xdr:nvGraphicFramePr>
        <xdr:cNvPr id="6" name="Chart 5">
          <a:extLst>
            <a:ext uri="{FF2B5EF4-FFF2-40B4-BE49-F238E27FC236}">
              <a16:creationId xmlns:a16="http://schemas.microsoft.com/office/drawing/2014/main" id="{A0DC0ACC-26C6-4F67-9A0A-53B40E50D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166686</xdr:rowOff>
    </xdr:from>
    <xdr:to>
      <xdr:col>24</xdr:col>
      <xdr:colOff>95250</xdr:colOff>
      <xdr:row>53</xdr:row>
      <xdr:rowOff>23811</xdr:rowOff>
    </xdr:to>
    <xdr:sp macro="" textlink="">
      <xdr:nvSpPr>
        <xdr:cNvPr id="36" name="Rectangle 35">
          <a:extLst>
            <a:ext uri="{FF2B5EF4-FFF2-40B4-BE49-F238E27FC236}">
              <a16:creationId xmlns:a16="http://schemas.microsoft.com/office/drawing/2014/main" id="{70AFA8AC-E6C7-0E66-680A-B80EBB45C716}"/>
            </a:ext>
          </a:extLst>
        </xdr:cNvPr>
        <xdr:cNvSpPr/>
      </xdr:nvSpPr>
      <xdr:spPr>
        <a:xfrm>
          <a:off x="0" y="166686"/>
          <a:ext cx="14954250" cy="995362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571501</xdr:colOff>
      <xdr:row>2</xdr:row>
      <xdr:rowOff>58208</xdr:rowOff>
    </xdr:from>
    <xdr:to>
      <xdr:col>22</xdr:col>
      <xdr:colOff>114655</xdr:colOff>
      <xdr:row>46</xdr:row>
      <xdr:rowOff>79375</xdr:rowOff>
    </xdr:to>
    <xdr:sp macro="" textlink="'HR Analysis'!E22">
      <xdr:nvSpPr>
        <xdr:cNvPr id="2" name="Rectangle: Rounded Corners 1">
          <a:extLst>
            <a:ext uri="{FF2B5EF4-FFF2-40B4-BE49-F238E27FC236}">
              <a16:creationId xmlns:a16="http://schemas.microsoft.com/office/drawing/2014/main" id="{299D810C-6BD1-62FE-B41C-F1B6C3481212}"/>
            </a:ext>
          </a:extLst>
        </xdr:cNvPr>
        <xdr:cNvSpPr/>
      </xdr:nvSpPr>
      <xdr:spPr>
        <a:xfrm>
          <a:off x="571501" y="439208"/>
          <a:ext cx="13163904" cy="8403167"/>
        </a:xfrm>
        <a:prstGeom prst="roundRect">
          <a:avLst>
            <a:gd name="adj" fmla="val 4225"/>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2DC9C51-960E-4E3F-B967-BCCAA1309B2D}" type="TxLink">
            <a:rPr lang="en-US" sz="1100" b="0" i="0" u="none" strike="noStrike">
              <a:solidFill>
                <a:srgbClr val="000000"/>
              </a:solidFill>
              <a:latin typeface="Calibri"/>
              <a:cs typeface="Calibri"/>
            </a:rPr>
            <a:pPr algn="l"/>
            <a:t>23%</a:t>
          </a:fld>
          <a:endParaRPr lang="LID4096" sz="1100"/>
        </a:p>
      </xdr:txBody>
    </xdr:sp>
    <xdr:clientData/>
  </xdr:twoCellAnchor>
  <xdr:twoCellAnchor>
    <xdr:from>
      <xdr:col>1</xdr:col>
      <xdr:colOff>259996</xdr:colOff>
      <xdr:row>2</xdr:row>
      <xdr:rowOff>74083</xdr:rowOff>
    </xdr:from>
    <xdr:to>
      <xdr:col>21</xdr:col>
      <xdr:colOff>51152</xdr:colOff>
      <xdr:row>6</xdr:row>
      <xdr:rowOff>23989</xdr:rowOff>
    </xdr:to>
    <xdr:sp macro="" textlink="">
      <xdr:nvSpPr>
        <xdr:cNvPr id="3" name="Rectangle: Rounded Corners 2">
          <a:extLst>
            <a:ext uri="{FF2B5EF4-FFF2-40B4-BE49-F238E27FC236}">
              <a16:creationId xmlns:a16="http://schemas.microsoft.com/office/drawing/2014/main" id="{A92ED549-077F-2CED-55D6-64B89438C1C0}"/>
            </a:ext>
          </a:extLst>
        </xdr:cNvPr>
        <xdr:cNvSpPr/>
      </xdr:nvSpPr>
      <xdr:spPr>
        <a:xfrm>
          <a:off x="879121" y="455083"/>
          <a:ext cx="12173656" cy="711906"/>
        </a:xfrm>
        <a:prstGeom prst="roundRect">
          <a:avLst/>
        </a:prstGeom>
        <a:solidFill>
          <a:schemeClr val="accent3">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baseline="0"/>
            <a:t>              </a:t>
          </a:r>
          <a:r>
            <a:rPr lang="en-US" sz="2800" b="1" baseline="0"/>
            <a:t>HR ANALYSIS DASHBOARD</a:t>
          </a:r>
          <a:endParaRPr lang="en-US" sz="2800" b="1"/>
        </a:p>
      </xdr:txBody>
    </xdr:sp>
    <xdr:clientData/>
  </xdr:twoCellAnchor>
  <xdr:twoCellAnchor>
    <xdr:from>
      <xdr:col>1</xdr:col>
      <xdr:colOff>97014</xdr:colOff>
      <xdr:row>7</xdr:row>
      <xdr:rowOff>9525</xdr:rowOff>
    </xdr:from>
    <xdr:to>
      <xdr:col>3</xdr:col>
      <xdr:colOff>155575</xdr:colOff>
      <xdr:row>45</xdr:row>
      <xdr:rowOff>111125</xdr:rowOff>
    </xdr:to>
    <xdr:sp macro="" textlink="">
      <xdr:nvSpPr>
        <xdr:cNvPr id="4" name="Rectangle: Rounded Corners 3">
          <a:extLst>
            <a:ext uri="{FF2B5EF4-FFF2-40B4-BE49-F238E27FC236}">
              <a16:creationId xmlns:a16="http://schemas.microsoft.com/office/drawing/2014/main" id="{63A07CAC-C53F-5CE9-0D75-BF393C1DEE07}"/>
            </a:ext>
          </a:extLst>
        </xdr:cNvPr>
        <xdr:cNvSpPr/>
      </xdr:nvSpPr>
      <xdr:spPr>
        <a:xfrm>
          <a:off x="700264" y="1343025"/>
          <a:ext cx="1265061" cy="7340600"/>
        </a:xfrm>
        <a:prstGeom prst="roundRect">
          <a:avLst/>
        </a:prstGeom>
        <a:solidFill>
          <a:schemeClr val="accent3">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3</xdr:col>
      <xdr:colOff>364418</xdr:colOff>
      <xdr:row>7</xdr:row>
      <xdr:rowOff>3880</xdr:rowOff>
    </xdr:from>
    <xdr:to>
      <xdr:col>19</xdr:col>
      <xdr:colOff>266347</xdr:colOff>
      <xdr:row>14</xdr:row>
      <xdr:rowOff>38805</xdr:rowOff>
    </xdr:to>
    <xdr:sp macro="" textlink="">
      <xdr:nvSpPr>
        <xdr:cNvPr id="5" name="Rectangle: Rounded Corners 4">
          <a:extLst>
            <a:ext uri="{FF2B5EF4-FFF2-40B4-BE49-F238E27FC236}">
              <a16:creationId xmlns:a16="http://schemas.microsoft.com/office/drawing/2014/main" id="{45C6226B-6D79-CB5B-A144-2DF0ED6E0A8B}"/>
            </a:ext>
          </a:extLst>
        </xdr:cNvPr>
        <xdr:cNvSpPr/>
      </xdr:nvSpPr>
      <xdr:spPr>
        <a:xfrm>
          <a:off x="2174168" y="1337380"/>
          <a:ext cx="9553929" cy="1368425"/>
        </a:xfrm>
        <a:prstGeom prst="roundRect">
          <a:avLst/>
        </a:prstGeom>
        <a:solidFill>
          <a:schemeClr val="accent3">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3</xdr:col>
      <xdr:colOff>456141</xdr:colOff>
      <xdr:row>7</xdr:row>
      <xdr:rowOff>143933</xdr:rowOff>
    </xdr:from>
    <xdr:to>
      <xdr:col>8</xdr:col>
      <xdr:colOff>111125</xdr:colOff>
      <xdr:row>13</xdr:row>
      <xdr:rowOff>65264</xdr:rowOff>
    </xdr:to>
    <xdr:sp macro="" textlink="">
      <xdr:nvSpPr>
        <xdr:cNvPr id="6" name="Rectangle: Rounded Corners 5">
          <a:extLst>
            <a:ext uri="{FF2B5EF4-FFF2-40B4-BE49-F238E27FC236}">
              <a16:creationId xmlns:a16="http://schemas.microsoft.com/office/drawing/2014/main" id="{85D29C7B-39F5-7964-7E7B-C72048E0F0D3}"/>
            </a:ext>
          </a:extLst>
        </xdr:cNvPr>
        <xdr:cNvSpPr/>
      </xdr:nvSpPr>
      <xdr:spPr>
        <a:xfrm>
          <a:off x="2265891" y="1477433"/>
          <a:ext cx="2671234" cy="1064331"/>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8</xdr:col>
      <xdr:colOff>170040</xdr:colOff>
      <xdr:row>7</xdr:row>
      <xdr:rowOff>150989</xdr:rowOff>
    </xdr:from>
    <xdr:to>
      <xdr:col>12</xdr:col>
      <xdr:colOff>111125</xdr:colOff>
      <xdr:row>13</xdr:row>
      <xdr:rowOff>72319</xdr:rowOff>
    </xdr:to>
    <xdr:sp macro="" textlink="">
      <xdr:nvSpPr>
        <xdr:cNvPr id="7" name="Rectangle: Rounded Corners 6">
          <a:extLst>
            <a:ext uri="{FF2B5EF4-FFF2-40B4-BE49-F238E27FC236}">
              <a16:creationId xmlns:a16="http://schemas.microsoft.com/office/drawing/2014/main" id="{B25F4BC3-3377-42F9-AA44-8C95A2DF4833}"/>
            </a:ext>
          </a:extLst>
        </xdr:cNvPr>
        <xdr:cNvSpPr/>
      </xdr:nvSpPr>
      <xdr:spPr>
        <a:xfrm>
          <a:off x="4996040" y="1484489"/>
          <a:ext cx="2354085" cy="1064330"/>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        Total Salary</a:t>
          </a:r>
          <a:endParaRPr lang="LID4096" sz="1600" b="1">
            <a:solidFill>
              <a:sysClr val="windowText" lastClr="000000"/>
            </a:solidFill>
          </a:endParaRPr>
        </a:p>
      </xdr:txBody>
    </xdr:sp>
    <xdr:clientData/>
  </xdr:twoCellAnchor>
  <xdr:twoCellAnchor>
    <xdr:from>
      <xdr:col>12</xdr:col>
      <xdr:colOff>183443</xdr:colOff>
      <xdr:row>7</xdr:row>
      <xdr:rowOff>161925</xdr:rowOff>
    </xdr:from>
    <xdr:to>
      <xdr:col>15</xdr:col>
      <xdr:colOff>372179</xdr:colOff>
      <xdr:row>13</xdr:row>
      <xdr:rowOff>44097</xdr:rowOff>
    </xdr:to>
    <xdr:sp macro="" textlink="">
      <xdr:nvSpPr>
        <xdr:cNvPr id="8" name="Rectangle: Rounded Corners 7">
          <a:extLst>
            <a:ext uri="{FF2B5EF4-FFF2-40B4-BE49-F238E27FC236}">
              <a16:creationId xmlns:a16="http://schemas.microsoft.com/office/drawing/2014/main" id="{B138C68B-F4E0-4DF3-A729-1EF925DF662E}"/>
            </a:ext>
          </a:extLst>
        </xdr:cNvPr>
        <xdr:cNvSpPr/>
      </xdr:nvSpPr>
      <xdr:spPr>
        <a:xfrm>
          <a:off x="7422443" y="1495425"/>
          <a:ext cx="1998486" cy="1025172"/>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  Attrition Rate</a:t>
          </a:r>
          <a:endParaRPr lang="LID4096" sz="1600" b="1">
            <a:solidFill>
              <a:sysClr val="windowText" lastClr="000000"/>
            </a:solidFill>
          </a:endParaRPr>
        </a:p>
      </xdr:txBody>
    </xdr:sp>
    <xdr:clientData/>
  </xdr:twoCellAnchor>
  <xdr:twoCellAnchor>
    <xdr:from>
      <xdr:col>3</xdr:col>
      <xdr:colOff>421821</xdr:colOff>
      <xdr:row>16</xdr:row>
      <xdr:rowOff>2269</xdr:rowOff>
    </xdr:from>
    <xdr:to>
      <xdr:col>10</xdr:col>
      <xdr:colOff>523875</xdr:colOff>
      <xdr:row>29</xdr:row>
      <xdr:rowOff>119063</xdr:rowOff>
    </xdr:to>
    <xdr:sp macro="" textlink="">
      <xdr:nvSpPr>
        <xdr:cNvPr id="9" name="Rectangle: Rounded Corners 8">
          <a:extLst>
            <a:ext uri="{FF2B5EF4-FFF2-40B4-BE49-F238E27FC236}">
              <a16:creationId xmlns:a16="http://schemas.microsoft.com/office/drawing/2014/main" id="{DCE48A7A-1309-7897-F278-F07EB90BE770}"/>
            </a:ext>
          </a:extLst>
        </xdr:cNvPr>
        <xdr:cNvSpPr/>
      </xdr:nvSpPr>
      <xdr:spPr>
        <a:xfrm>
          <a:off x="2279196" y="3050269"/>
          <a:ext cx="4435929" cy="2593294"/>
        </a:xfrm>
        <a:prstGeom prst="roundRect">
          <a:avLst/>
        </a:prstGeom>
        <a:solidFill>
          <a:schemeClr val="accent3">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DFF2DE"/>
              </a:solidFill>
            </a:rPr>
            <a:t>z</a:t>
          </a:r>
          <a:endParaRPr lang="LID4096" sz="1100">
            <a:solidFill>
              <a:srgbClr val="DFF2DE"/>
            </a:solidFill>
          </a:endParaRPr>
        </a:p>
      </xdr:txBody>
    </xdr:sp>
    <xdr:clientData/>
  </xdr:twoCellAnchor>
  <xdr:twoCellAnchor>
    <xdr:from>
      <xdr:col>11</xdr:col>
      <xdr:colOff>404812</xdr:colOff>
      <xdr:row>16</xdr:row>
      <xdr:rowOff>47624</xdr:rowOff>
    </xdr:from>
    <xdr:to>
      <xdr:col>19</xdr:col>
      <xdr:colOff>158750</xdr:colOff>
      <xdr:row>29</xdr:row>
      <xdr:rowOff>126999</xdr:rowOff>
    </xdr:to>
    <xdr:sp macro="" textlink="">
      <xdr:nvSpPr>
        <xdr:cNvPr id="10" name="Rectangle: Rounded Corners 9">
          <a:extLst>
            <a:ext uri="{FF2B5EF4-FFF2-40B4-BE49-F238E27FC236}">
              <a16:creationId xmlns:a16="http://schemas.microsoft.com/office/drawing/2014/main" id="{152D3ED2-2B71-4811-85F4-85B006F3F141}"/>
            </a:ext>
          </a:extLst>
        </xdr:cNvPr>
        <xdr:cNvSpPr/>
      </xdr:nvSpPr>
      <xdr:spPr>
        <a:xfrm>
          <a:off x="7215187" y="3095624"/>
          <a:ext cx="4706938" cy="2555875"/>
        </a:xfrm>
        <a:prstGeom prst="roundRect">
          <a:avLst/>
        </a:prstGeom>
        <a:solidFill>
          <a:schemeClr val="accent3">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solidFill>
              <a:srgbClr val="DFF2DE"/>
            </a:solidFill>
          </a:endParaRPr>
        </a:p>
      </xdr:txBody>
    </xdr:sp>
    <xdr:clientData/>
  </xdr:twoCellAnchor>
  <xdr:twoCellAnchor>
    <xdr:from>
      <xdr:col>3</xdr:col>
      <xdr:colOff>409122</xdr:colOff>
      <xdr:row>30</xdr:row>
      <xdr:rowOff>166687</xdr:rowOff>
    </xdr:from>
    <xdr:to>
      <xdr:col>10</xdr:col>
      <xdr:colOff>547689</xdr:colOff>
      <xdr:row>45</xdr:row>
      <xdr:rowOff>71436</xdr:rowOff>
    </xdr:to>
    <xdr:sp macro="" textlink="">
      <xdr:nvSpPr>
        <xdr:cNvPr id="11" name="Rectangle: Rounded Corners 10">
          <a:extLst>
            <a:ext uri="{FF2B5EF4-FFF2-40B4-BE49-F238E27FC236}">
              <a16:creationId xmlns:a16="http://schemas.microsoft.com/office/drawing/2014/main" id="{599DA5CF-5314-4EAD-866C-180974857CBC}"/>
            </a:ext>
          </a:extLst>
        </xdr:cNvPr>
        <xdr:cNvSpPr/>
      </xdr:nvSpPr>
      <xdr:spPr>
        <a:xfrm>
          <a:off x="2266497" y="5881687"/>
          <a:ext cx="4472442" cy="2762249"/>
        </a:xfrm>
        <a:prstGeom prst="roundRect">
          <a:avLst/>
        </a:prstGeom>
        <a:solidFill>
          <a:schemeClr val="accent3">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11</xdr:col>
      <xdr:colOff>317499</xdr:colOff>
      <xdr:row>30</xdr:row>
      <xdr:rowOff>98197</xdr:rowOff>
    </xdr:from>
    <xdr:to>
      <xdr:col>19</xdr:col>
      <xdr:colOff>309562</xdr:colOff>
      <xdr:row>46</xdr:row>
      <xdr:rowOff>0</xdr:rowOff>
    </xdr:to>
    <xdr:sp macro="" textlink="">
      <xdr:nvSpPr>
        <xdr:cNvPr id="12" name="Rectangle: Rounded Corners 11">
          <a:extLst>
            <a:ext uri="{FF2B5EF4-FFF2-40B4-BE49-F238E27FC236}">
              <a16:creationId xmlns:a16="http://schemas.microsoft.com/office/drawing/2014/main" id="{B6C86263-C1A8-43A3-BBD6-9D663FBF4E13}"/>
            </a:ext>
          </a:extLst>
        </xdr:cNvPr>
        <xdr:cNvSpPr/>
      </xdr:nvSpPr>
      <xdr:spPr>
        <a:xfrm>
          <a:off x="7127874" y="5813197"/>
          <a:ext cx="4945063" cy="2949803"/>
        </a:xfrm>
        <a:prstGeom prst="roundRect">
          <a:avLst/>
        </a:prstGeom>
        <a:solidFill>
          <a:schemeClr val="accent3">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b="1"/>
        </a:p>
      </xdr:txBody>
    </xdr:sp>
    <xdr:clientData/>
  </xdr:twoCellAnchor>
  <xdr:twoCellAnchor editAs="oneCell">
    <xdr:from>
      <xdr:col>19</xdr:col>
      <xdr:colOff>421685</xdr:colOff>
      <xdr:row>6</xdr:row>
      <xdr:rowOff>130280</xdr:rowOff>
    </xdr:from>
    <xdr:to>
      <xdr:col>22</xdr:col>
      <xdr:colOff>47625</xdr:colOff>
      <xdr:row>13</xdr:row>
      <xdr:rowOff>65265</xdr:rowOff>
    </xdr:to>
    <mc:AlternateContent xmlns:mc="http://schemas.openxmlformats.org/markup-compatibility/2006" xmlns:a14="http://schemas.microsoft.com/office/drawing/2010/main">
      <mc:Choice Requires="a14">
        <xdr:graphicFrame macro="">
          <xdr:nvGraphicFramePr>
            <xdr:cNvPr id="13" name="Employment Status2 2">
              <a:extLst>
                <a:ext uri="{FF2B5EF4-FFF2-40B4-BE49-F238E27FC236}">
                  <a16:creationId xmlns:a16="http://schemas.microsoft.com/office/drawing/2014/main" id="{1B20B4C9-9022-4D51-B2E6-5CB71E78FFA5}"/>
                </a:ext>
              </a:extLst>
            </xdr:cNvPr>
            <xdr:cNvGraphicFramePr/>
          </xdr:nvGraphicFramePr>
          <xdr:xfrm>
            <a:off x="0" y="0"/>
            <a:ext cx="0" cy="0"/>
          </xdr:xfrm>
          <a:graphic>
            <a:graphicData uri="http://schemas.microsoft.com/office/drawing/2010/slicer">
              <sle:slicer xmlns:sle="http://schemas.microsoft.com/office/drawing/2010/slicer" name="Employment Status2 2"/>
            </a:graphicData>
          </a:graphic>
        </xdr:graphicFrame>
      </mc:Choice>
      <mc:Fallback xmlns="">
        <xdr:sp macro="" textlink="">
          <xdr:nvSpPr>
            <xdr:cNvPr id="0" name=""/>
            <xdr:cNvSpPr>
              <a:spLocks noTextEdit="1"/>
            </xdr:cNvSpPr>
          </xdr:nvSpPr>
          <xdr:spPr>
            <a:xfrm>
              <a:off x="11883435" y="1273280"/>
              <a:ext cx="1435690" cy="126848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474604</xdr:colOff>
      <xdr:row>14</xdr:row>
      <xdr:rowOff>43594</xdr:rowOff>
    </xdr:from>
    <xdr:to>
      <xdr:col>22</xdr:col>
      <xdr:colOff>47625</xdr:colOff>
      <xdr:row>25</xdr:row>
      <xdr:rowOff>58209</xdr:rowOff>
    </xdr:to>
    <mc:AlternateContent xmlns:mc="http://schemas.openxmlformats.org/markup-compatibility/2006" xmlns:a14="http://schemas.microsoft.com/office/drawing/2010/main">
      <mc:Choice Requires="a14">
        <xdr:graphicFrame macro="">
          <xdr:nvGraphicFramePr>
            <xdr:cNvPr id="14" name="Department Name 2">
              <a:extLst>
                <a:ext uri="{FF2B5EF4-FFF2-40B4-BE49-F238E27FC236}">
                  <a16:creationId xmlns:a16="http://schemas.microsoft.com/office/drawing/2014/main" id="{01731A4E-E353-45AF-8EF3-81A50ED81704}"/>
                </a:ext>
              </a:extLst>
            </xdr:cNvPr>
            <xdr:cNvGraphicFramePr/>
          </xdr:nvGraphicFramePr>
          <xdr:xfrm>
            <a:off x="0" y="0"/>
            <a:ext cx="0" cy="0"/>
          </xdr:xfrm>
          <a:graphic>
            <a:graphicData uri="http://schemas.microsoft.com/office/drawing/2010/slicer">
              <sle:slicer xmlns:sle="http://schemas.microsoft.com/office/drawing/2010/slicer" name="Department Name 2"/>
            </a:graphicData>
          </a:graphic>
        </xdr:graphicFrame>
      </mc:Choice>
      <mc:Fallback xmlns="">
        <xdr:sp macro="" textlink="">
          <xdr:nvSpPr>
            <xdr:cNvPr id="0" name=""/>
            <xdr:cNvSpPr>
              <a:spLocks noTextEdit="1"/>
            </xdr:cNvSpPr>
          </xdr:nvSpPr>
          <xdr:spPr>
            <a:xfrm>
              <a:off x="11936354" y="2710594"/>
              <a:ext cx="1382771" cy="211011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444500</xdr:colOff>
      <xdr:row>17</xdr:row>
      <xdr:rowOff>35908</xdr:rowOff>
    </xdr:from>
    <xdr:to>
      <xdr:col>10</xdr:col>
      <xdr:colOff>492125</xdr:colOff>
      <xdr:row>28</xdr:row>
      <xdr:rowOff>127000</xdr:rowOff>
    </xdr:to>
    <xdr:graphicFrame macro="">
      <xdr:nvGraphicFramePr>
        <xdr:cNvPr id="15" name="Chart 14">
          <a:extLst>
            <a:ext uri="{FF2B5EF4-FFF2-40B4-BE49-F238E27FC236}">
              <a16:creationId xmlns:a16="http://schemas.microsoft.com/office/drawing/2014/main" id="{179924AE-7EF4-4940-8C16-3C0BFDAD0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254000</xdr:colOff>
      <xdr:row>15</xdr:row>
      <xdr:rowOff>79375</xdr:rowOff>
    </xdr:from>
    <xdr:to>
      <xdr:col>19</xdr:col>
      <xdr:colOff>492125</xdr:colOff>
      <xdr:row>29</xdr:row>
      <xdr:rowOff>149225</xdr:rowOff>
    </xdr:to>
    <xdr:graphicFrame macro="">
      <xdr:nvGraphicFramePr>
        <xdr:cNvPr id="17" name="Chart 16">
          <a:extLst>
            <a:ext uri="{FF2B5EF4-FFF2-40B4-BE49-F238E27FC236}">
              <a16:creationId xmlns:a16="http://schemas.microsoft.com/office/drawing/2014/main" id="{B88BF272-6BC6-43DE-8124-45425B580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301625</xdr:colOff>
      <xdr:row>31</xdr:row>
      <xdr:rowOff>31750</xdr:rowOff>
    </xdr:from>
    <xdr:to>
      <xdr:col>11</xdr:col>
      <xdr:colOff>13760</xdr:colOff>
      <xdr:row>44</xdr:row>
      <xdr:rowOff>133350</xdr:rowOff>
    </xdr:to>
    <xdr:graphicFrame macro="">
      <xdr:nvGraphicFramePr>
        <xdr:cNvPr id="18" name="Chart 17">
          <a:extLst>
            <a:ext uri="{FF2B5EF4-FFF2-40B4-BE49-F238E27FC236}">
              <a16:creationId xmlns:a16="http://schemas.microsoft.com/office/drawing/2014/main" id="{36BA5974-A842-4580-A06B-8BFD101CA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595312</xdr:colOff>
      <xdr:row>31</xdr:row>
      <xdr:rowOff>119061</xdr:rowOff>
    </xdr:from>
    <xdr:to>
      <xdr:col>18</xdr:col>
      <xdr:colOff>500063</xdr:colOff>
      <xdr:row>45</xdr:row>
      <xdr:rowOff>46036</xdr:rowOff>
    </xdr:to>
    <xdr:graphicFrame macro="">
      <xdr:nvGraphicFramePr>
        <xdr:cNvPr id="19" name="Chart 18">
          <a:extLst>
            <a:ext uri="{FF2B5EF4-FFF2-40B4-BE49-F238E27FC236}">
              <a16:creationId xmlns:a16="http://schemas.microsoft.com/office/drawing/2014/main" id="{BEA1E450-62D8-439A-AB79-6195327DF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450848</xdr:colOff>
      <xdr:row>7</xdr:row>
      <xdr:rowOff>165100</xdr:rowOff>
    </xdr:from>
    <xdr:to>
      <xdr:col>19</xdr:col>
      <xdr:colOff>82902</xdr:colOff>
      <xdr:row>13</xdr:row>
      <xdr:rowOff>51153</xdr:rowOff>
    </xdr:to>
    <xdr:sp macro="" textlink="">
      <xdr:nvSpPr>
        <xdr:cNvPr id="20" name="Rectangle: Rounded Corners 19">
          <a:extLst>
            <a:ext uri="{FF2B5EF4-FFF2-40B4-BE49-F238E27FC236}">
              <a16:creationId xmlns:a16="http://schemas.microsoft.com/office/drawing/2014/main" id="{9368ED52-F5BD-4C8F-AADB-12AB7CFDD962}"/>
            </a:ext>
          </a:extLst>
        </xdr:cNvPr>
        <xdr:cNvSpPr/>
      </xdr:nvSpPr>
      <xdr:spPr>
        <a:xfrm>
          <a:off x="9499598" y="1498600"/>
          <a:ext cx="2045054" cy="102905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Total</a:t>
          </a:r>
          <a:r>
            <a:rPr lang="en-US" sz="1600" b="1" baseline="0">
              <a:solidFill>
                <a:sysClr val="windowText" lastClr="000000"/>
              </a:solidFill>
            </a:rPr>
            <a:t> Bonus  Paid</a:t>
          </a:r>
          <a:endParaRPr lang="LID4096" sz="1600" b="1">
            <a:solidFill>
              <a:sysClr val="windowText" lastClr="000000"/>
            </a:solidFill>
          </a:endParaRPr>
        </a:p>
      </xdr:txBody>
    </xdr:sp>
    <xdr:clientData/>
  </xdr:twoCellAnchor>
  <xdr:twoCellAnchor editAs="oneCell">
    <xdr:from>
      <xdr:col>3</xdr:col>
      <xdr:colOff>480836</xdr:colOff>
      <xdr:row>8</xdr:row>
      <xdr:rowOff>23989</xdr:rowOff>
    </xdr:from>
    <xdr:to>
      <xdr:col>7</xdr:col>
      <xdr:colOff>203230</xdr:colOff>
      <xdr:row>10</xdr:row>
      <xdr:rowOff>83857</xdr:rowOff>
    </xdr:to>
    <xdr:pic>
      <xdr:nvPicPr>
        <xdr:cNvPr id="22" name="Picture 21">
          <a:extLst>
            <a:ext uri="{FF2B5EF4-FFF2-40B4-BE49-F238E27FC236}">
              <a16:creationId xmlns:a16="http://schemas.microsoft.com/office/drawing/2014/main" id="{48D048A4-7753-C289-235F-AEDDBAA7C972}"/>
            </a:ext>
          </a:extLst>
        </xdr:cNvPr>
        <xdr:cNvPicPr>
          <a:picLocks noChangeAspect="1"/>
        </xdr:cNvPicPr>
      </xdr:nvPicPr>
      <xdr:blipFill>
        <a:blip xmlns:r="http://schemas.openxmlformats.org/officeDocument/2006/relationships" r:embed="rId5"/>
        <a:stretch>
          <a:fillRect/>
        </a:stretch>
      </xdr:blipFill>
      <xdr:spPr>
        <a:xfrm>
          <a:off x="2290586" y="1547989"/>
          <a:ext cx="2135394" cy="440868"/>
        </a:xfrm>
        <a:prstGeom prst="rect">
          <a:avLst/>
        </a:prstGeom>
      </xdr:spPr>
    </xdr:pic>
    <xdr:clientData/>
  </xdr:twoCellAnchor>
  <xdr:twoCellAnchor editAs="oneCell">
    <xdr:from>
      <xdr:col>7</xdr:col>
      <xdr:colOff>202847</xdr:colOff>
      <xdr:row>7</xdr:row>
      <xdr:rowOff>165101</xdr:rowOff>
    </xdr:from>
    <xdr:to>
      <xdr:col>8</xdr:col>
      <xdr:colOff>188465</xdr:colOff>
      <xdr:row>10</xdr:row>
      <xdr:rowOff>175370</xdr:rowOff>
    </xdr:to>
    <xdr:pic>
      <xdr:nvPicPr>
        <xdr:cNvPr id="23" name="Picture 22">
          <a:extLst>
            <a:ext uri="{FF2B5EF4-FFF2-40B4-BE49-F238E27FC236}">
              <a16:creationId xmlns:a16="http://schemas.microsoft.com/office/drawing/2014/main" id="{5F2B2C13-983D-4461-B6DD-F11088B9FE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25597" y="1498601"/>
          <a:ext cx="588868" cy="581769"/>
        </a:xfrm>
        <a:prstGeom prst="rect">
          <a:avLst/>
        </a:prstGeom>
      </xdr:spPr>
    </xdr:pic>
    <xdr:clientData/>
  </xdr:twoCellAnchor>
  <xdr:twoCellAnchor editAs="oneCell">
    <xdr:from>
      <xdr:col>11</xdr:col>
      <xdr:colOff>75847</xdr:colOff>
      <xdr:row>8</xdr:row>
      <xdr:rowOff>51507</xdr:rowOff>
    </xdr:from>
    <xdr:to>
      <xdr:col>12</xdr:col>
      <xdr:colOff>81537</xdr:colOff>
      <xdr:row>11</xdr:row>
      <xdr:rowOff>83093</xdr:rowOff>
    </xdr:to>
    <xdr:pic>
      <xdr:nvPicPr>
        <xdr:cNvPr id="24" name="Picture 23">
          <a:extLst>
            <a:ext uri="{FF2B5EF4-FFF2-40B4-BE49-F238E27FC236}">
              <a16:creationId xmlns:a16="http://schemas.microsoft.com/office/drawing/2014/main" id="{763A1E31-0162-4016-9A8E-487F4692502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11597" y="1575507"/>
          <a:ext cx="608940" cy="603086"/>
        </a:xfrm>
        <a:prstGeom prst="rect">
          <a:avLst/>
        </a:prstGeom>
      </xdr:spPr>
    </xdr:pic>
    <xdr:clientData/>
  </xdr:twoCellAnchor>
  <xdr:twoCellAnchor editAs="oneCell">
    <xdr:from>
      <xdr:col>14</xdr:col>
      <xdr:colOff>421570</xdr:colOff>
      <xdr:row>8</xdr:row>
      <xdr:rowOff>27871</xdr:rowOff>
    </xdr:from>
    <xdr:to>
      <xdr:col>15</xdr:col>
      <xdr:colOff>328940</xdr:colOff>
      <xdr:row>10</xdr:row>
      <xdr:rowOff>144870</xdr:rowOff>
    </xdr:to>
    <xdr:pic>
      <xdr:nvPicPr>
        <xdr:cNvPr id="25" name="Picture 24">
          <a:extLst>
            <a:ext uri="{FF2B5EF4-FFF2-40B4-BE49-F238E27FC236}">
              <a16:creationId xmlns:a16="http://schemas.microsoft.com/office/drawing/2014/main" id="{E0AA8BB3-A288-48CA-B1CB-75D1B9C51D3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867070" y="1551871"/>
          <a:ext cx="510620" cy="497999"/>
        </a:xfrm>
        <a:prstGeom prst="rect">
          <a:avLst/>
        </a:prstGeom>
      </xdr:spPr>
    </xdr:pic>
    <xdr:clientData/>
  </xdr:twoCellAnchor>
  <xdr:twoCellAnchor editAs="oneCell">
    <xdr:from>
      <xdr:col>18</xdr:col>
      <xdr:colOff>208367</xdr:colOff>
      <xdr:row>8</xdr:row>
      <xdr:rowOff>58561</xdr:rowOff>
    </xdr:from>
    <xdr:to>
      <xdr:col>19</xdr:col>
      <xdr:colOff>45875</xdr:colOff>
      <xdr:row>10</xdr:row>
      <xdr:rowOff>100541</xdr:rowOff>
    </xdr:to>
    <xdr:pic>
      <xdr:nvPicPr>
        <xdr:cNvPr id="26" name="Picture 25">
          <a:extLst>
            <a:ext uri="{FF2B5EF4-FFF2-40B4-BE49-F238E27FC236}">
              <a16:creationId xmlns:a16="http://schemas.microsoft.com/office/drawing/2014/main" id="{D58A4265-4DEE-450F-9B33-43B5D957973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066867" y="1582561"/>
          <a:ext cx="440758" cy="422980"/>
        </a:xfrm>
        <a:prstGeom prst="rect">
          <a:avLst/>
        </a:prstGeom>
      </xdr:spPr>
    </xdr:pic>
    <xdr:clientData/>
  </xdr:twoCellAnchor>
  <xdr:twoCellAnchor>
    <xdr:from>
      <xdr:col>1</xdr:col>
      <xdr:colOff>166863</xdr:colOff>
      <xdr:row>7</xdr:row>
      <xdr:rowOff>143579</xdr:rowOff>
    </xdr:from>
    <xdr:to>
      <xdr:col>3</xdr:col>
      <xdr:colOff>97012</xdr:colOff>
      <xdr:row>15</xdr:row>
      <xdr:rowOff>23635</xdr:rowOff>
    </xdr:to>
    <xdr:sp macro="" textlink="">
      <xdr:nvSpPr>
        <xdr:cNvPr id="28" name="Rectangle: Rounded Corners 27">
          <a:hlinkClick xmlns:r="http://schemas.openxmlformats.org/officeDocument/2006/relationships" r:id="rId10"/>
          <a:extLst>
            <a:ext uri="{FF2B5EF4-FFF2-40B4-BE49-F238E27FC236}">
              <a16:creationId xmlns:a16="http://schemas.microsoft.com/office/drawing/2014/main" id="{4C4AAA72-5B7C-4054-8504-839071A14880}"/>
            </a:ext>
          </a:extLst>
        </xdr:cNvPr>
        <xdr:cNvSpPr/>
      </xdr:nvSpPr>
      <xdr:spPr>
        <a:xfrm>
          <a:off x="770113" y="1477079"/>
          <a:ext cx="1136649" cy="1404056"/>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editAs="oneCell">
    <xdr:from>
      <xdr:col>1</xdr:col>
      <xdr:colOff>509058</xdr:colOff>
      <xdr:row>8</xdr:row>
      <xdr:rowOff>38452</xdr:rowOff>
    </xdr:from>
    <xdr:to>
      <xdr:col>2</xdr:col>
      <xdr:colOff>434739</xdr:colOff>
      <xdr:row>11</xdr:row>
      <xdr:rowOff>44098</xdr:rowOff>
    </xdr:to>
    <xdr:pic>
      <xdr:nvPicPr>
        <xdr:cNvPr id="29" name="Picture 28">
          <a:extLst>
            <a:ext uri="{FF2B5EF4-FFF2-40B4-BE49-F238E27FC236}">
              <a16:creationId xmlns:a16="http://schemas.microsoft.com/office/drawing/2014/main" id="{A959E1A8-28EA-4B16-ACBD-0A394AC46D5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12308" y="1562452"/>
          <a:ext cx="528931" cy="577146"/>
        </a:xfrm>
        <a:prstGeom prst="rect">
          <a:avLst/>
        </a:prstGeom>
      </xdr:spPr>
    </xdr:pic>
    <xdr:clientData/>
  </xdr:twoCellAnchor>
  <xdr:twoCellAnchor>
    <xdr:from>
      <xdr:col>1</xdr:col>
      <xdr:colOff>146402</xdr:colOff>
      <xdr:row>16</xdr:row>
      <xdr:rowOff>151341</xdr:rowOff>
    </xdr:from>
    <xdr:to>
      <xdr:col>3</xdr:col>
      <xdr:colOff>76551</xdr:colOff>
      <xdr:row>24</xdr:row>
      <xdr:rowOff>44097</xdr:rowOff>
    </xdr:to>
    <xdr:sp macro="" textlink="">
      <xdr:nvSpPr>
        <xdr:cNvPr id="30" name="Rectangle: Rounded Corners 29">
          <a:extLst>
            <a:ext uri="{FF2B5EF4-FFF2-40B4-BE49-F238E27FC236}">
              <a16:creationId xmlns:a16="http://schemas.microsoft.com/office/drawing/2014/main" id="{623EE870-7388-4DA7-B086-F00720FC91DA}"/>
            </a:ext>
          </a:extLst>
        </xdr:cNvPr>
        <xdr:cNvSpPr/>
      </xdr:nvSpPr>
      <xdr:spPr>
        <a:xfrm>
          <a:off x="749652" y="3199341"/>
          <a:ext cx="1136649" cy="1416756"/>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1</xdr:col>
      <xdr:colOff>164746</xdr:colOff>
      <xdr:row>25</xdr:row>
      <xdr:rowOff>183797</xdr:rowOff>
    </xdr:from>
    <xdr:to>
      <xdr:col>3</xdr:col>
      <xdr:colOff>94895</xdr:colOff>
      <xdr:row>33</xdr:row>
      <xdr:rowOff>70203</xdr:rowOff>
    </xdr:to>
    <xdr:sp macro="" textlink="">
      <xdr:nvSpPr>
        <xdr:cNvPr id="31" name="Rectangle: Rounded Corners 30">
          <a:extLst>
            <a:ext uri="{FF2B5EF4-FFF2-40B4-BE49-F238E27FC236}">
              <a16:creationId xmlns:a16="http://schemas.microsoft.com/office/drawing/2014/main" id="{AC4F2985-1AB0-429C-9612-7BCA7F59DCD3}"/>
            </a:ext>
          </a:extLst>
        </xdr:cNvPr>
        <xdr:cNvSpPr/>
      </xdr:nvSpPr>
      <xdr:spPr>
        <a:xfrm>
          <a:off x="767996" y="4946297"/>
          <a:ext cx="1136649" cy="1410406"/>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editAs="oneCell">
    <xdr:from>
      <xdr:col>1</xdr:col>
      <xdr:colOff>428625</xdr:colOff>
      <xdr:row>17</xdr:row>
      <xdr:rowOff>58208</xdr:rowOff>
    </xdr:from>
    <xdr:to>
      <xdr:col>2</xdr:col>
      <xdr:colOff>455965</xdr:colOff>
      <xdr:row>19</xdr:row>
      <xdr:rowOff>175063</xdr:rowOff>
    </xdr:to>
    <xdr:pic>
      <xdr:nvPicPr>
        <xdr:cNvPr id="32" name="Picture 31">
          <a:extLst>
            <a:ext uri="{FF2B5EF4-FFF2-40B4-BE49-F238E27FC236}">
              <a16:creationId xmlns:a16="http://schemas.microsoft.com/office/drawing/2014/main" id="{4A259A93-73DD-4B72-8450-76D1D5FC617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031875" y="3296708"/>
          <a:ext cx="630590" cy="497855"/>
        </a:xfrm>
        <a:prstGeom prst="rect">
          <a:avLst/>
        </a:prstGeom>
      </xdr:spPr>
    </xdr:pic>
    <xdr:clientData/>
  </xdr:twoCellAnchor>
  <xdr:twoCellAnchor editAs="oneCell">
    <xdr:from>
      <xdr:col>1</xdr:col>
      <xdr:colOff>516819</xdr:colOff>
      <xdr:row>26</xdr:row>
      <xdr:rowOff>41980</xdr:rowOff>
    </xdr:from>
    <xdr:to>
      <xdr:col>2</xdr:col>
      <xdr:colOff>545746</xdr:colOff>
      <xdr:row>29</xdr:row>
      <xdr:rowOff>8819</xdr:rowOff>
    </xdr:to>
    <xdr:pic>
      <xdr:nvPicPr>
        <xdr:cNvPr id="33" name="Picture 32">
          <a:extLst>
            <a:ext uri="{FF2B5EF4-FFF2-40B4-BE49-F238E27FC236}">
              <a16:creationId xmlns:a16="http://schemas.microsoft.com/office/drawing/2014/main" id="{2217FCC1-FD39-4D7C-A92E-80078739F61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20069" y="4994980"/>
          <a:ext cx="632177" cy="538339"/>
        </a:xfrm>
        <a:prstGeom prst="rect">
          <a:avLst/>
        </a:prstGeom>
      </xdr:spPr>
    </xdr:pic>
    <xdr:clientData/>
  </xdr:twoCellAnchor>
  <xdr:twoCellAnchor editAs="oneCell">
    <xdr:from>
      <xdr:col>19</xdr:col>
      <xdr:colOff>492125</xdr:colOff>
      <xdr:row>25</xdr:row>
      <xdr:rowOff>174625</xdr:rowOff>
    </xdr:from>
    <xdr:to>
      <xdr:col>22</xdr:col>
      <xdr:colOff>37042</xdr:colOff>
      <xdr:row>42</xdr:row>
      <xdr:rowOff>164042</xdr:rowOff>
    </xdr:to>
    <mc:AlternateContent xmlns:mc="http://schemas.openxmlformats.org/markup-compatibility/2006" xmlns:a14="http://schemas.microsoft.com/office/drawing/2010/main">
      <mc:Choice Requires="a14">
        <xdr:graphicFrame macro="">
          <xdr:nvGraphicFramePr>
            <xdr:cNvPr id="35" name="Year of Service 2">
              <a:extLst>
                <a:ext uri="{FF2B5EF4-FFF2-40B4-BE49-F238E27FC236}">
                  <a16:creationId xmlns:a16="http://schemas.microsoft.com/office/drawing/2014/main" id="{558365CE-6945-42EE-AED2-238474B4C0FD}"/>
                </a:ext>
              </a:extLst>
            </xdr:cNvPr>
            <xdr:cNvGraphicFramePr/>
          </xdr:nvGraphicFramePr>
          <xdr:xfrm>
            <a:off x="0" y="0"/>
            <a:ext cx="0" cy="0"/>
          </xdr:xfrm>
          <a:graphic>
            <a:graphicData uri="http://schemas.microsoft.com/office/drawing/2010/slicer">
              <sle:slicer xmlns:sle="http://schemas.microsoft.com/office/drawing/2010/slicer" name="Year of Service 2"/>
            </a:graphicData>
          </a:graphic>
        </xdr:graphicFrame>
      </mc:Choice>
      <mc:Fallback xmlns="">
        <xdr:sp macro="" textlink="">
          <xdr:nvSpPr>
            <xdr:cNvPr id="0" name=""/>
            <xdr:cNvSpPr>
              <a:spLocks noTextEdit="1"/>
            </xdr:cNvSpPr>
          </xdr:nvSpPr>
          <xdr:spPr>
            <a:xfrm>
              <a:off x="11953875" y="4937125"/>
              <a:ext cx="1354667" cy="322791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500062</xdr:colOff>
      <xdr:row>10</xdr:row>
      <xdr:rowOff>71437</xdr:rowOff>
    </xdr:from>
    <xdr:to>
      <xdr:col>6</xdr:col>
      <xdr:colOff>333375</xdr:colOff>
      <xdr:row>12</xdr:row>
      <xdr:rowOff>47625</xdr:rowOff>
    </xdr:to>
    <xdr:sp macro="" textlink="">
      <xdr:nvSpPr>
        <xdr:cNvPr id="16" name="TextBox 15">
          <a:extLst>
            <a:ext uri="{FF2B5EF4-FFF2-40B4-BE49-F238E27FC236}">
              <a16:creationId xmlns:a16="http://schemas.microsoft.com/office/drawing/2014/main" id="{9D679AEB-5EBA-9560-C2D1-24F867FC4E62}"/>
            </a:ext>
          </a:extLst>
        </xdr:cNvPr>
        <xdr:cNvSpPr txBox="1"/>
      </xdr:nvSpPr>
      <xdr:spPr>
        <a:xfrm>
          <a:off x="2976562" y="1976437"/>
          <a:ext cx="1071563" cy="357188"/>
        </a:xfrm>
        <a:prstGeom prst="rect">
          <a:avLst/>
        </a:prstGeom>
        <a:solidFill>
          <a:srgbClr val="AED58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150</a:t>
          </a:r>
        </a:p>
      </xdr:txBody>
    </xdr:sp>
    <xdr:clientData/>
  </xdr:twoCellAnchor>
  <xdr:twoCellAnchor>
    <xdr:from>
      <xdr:col>9</xdr:col>
      <xdr:colOff>166687</xdr:colOff>
      <xdr:row>10</xdr:row>
      <xdr:rowOff>23812</xdr:rowOff>
    </xdr:from>
    <xdr:to>
      <xdr:col>10</xdr:col>
      <xdr:colOff>309562</xdr:colOff>
      <xdr:row>12</xdr:row>
      <xdr:rowOff>0</xdr:rowOff>
    </xdr:to>
    <xdr:sp macro="" textlink="'HR Analysis'!H7">
      <xdr:nvSpPr>
        <xdr:cNvPr id="21" name="TextBox 20">
          <a:extLst>
            <a:ext uri="{FF2B5EF4-FFF2-40B4-BE49-F238E27FC236}">
              <a16:creationId xmlns:a16="http://schemas.microsoft.com/office/drawing/2014/main" id="{AF1B4B87-1063-358E-3418-68D6D15FD325}"/>
            </a:ext>
          </a:extLst>
        </xdr:cNvPr>
        <xdr:cNvSpPr txBox="1"/>
      </xdr:nvSpPr>
      <xdr:spPr>
        <a:xfrm>
          <a:off x="5738812" y="1928812"/>
          <a:ext cx="762000" cy="357188"/>
        </a:xfrm>
        <a:prstGeom prst="rect">
          <a:avLst/>
        </a:prstGeom>
        <a:solidFill>
          <a:srgbClr val="AED58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69EACA-91D2-485D-86C5-E0DEDB4893B5}" type="TxLink">
            <a:rPr lang="en-US" sz="1600" b="1" i="0" u="none" strike="noStrike">
              <a:solidFill>
                <a:srgbClr val="000000"/>
              </a:solidFill>
              <a:latin typeface="Calibri"/>
              <a:cs typeface="Calibri"/>
            </a:rPr>
            <a:pPr/>
            <a:t>12.5M</a:t>
          </a:fld>
          <a:endParaRPr lang="en-US" sz="1600" b="1"/>
        </a:p>
      </xdr:txBody>
    </xdr:sp>
    <xdr:clientData/>
  </xdr:twoCellAnchor>
  <xdr:twoCellAnchor>
    <xdr:from>
      <xdr:col>12</xdr:col>
      <xdr:colOff>595312</xdr:colOff>
      <xdr:row>9</xdr:row>
      <xdr:rowOff>166687</xdr:rowOff>
    </xdr:from>
    <xdr:to>
      <xdr:col>14</xdr:col>
      <xdr:colOff>142875</xdr:colOff>
      <xdr:row>11</xdr:row>
      <xdr:rowOff>95250</xdr:rowOff>
    </xdr:to>
    <xdr:sp macro="" textlink="">
      <xdr:nvSpPr>
        <xdr:cNvPr id="27" name="TextBox 26">
          <a:extLst>
            <a:ext uri="{FF2B5EF4-FFF2-40B4-BE49-F238E27FC236}">
              <a16:creationId xmlns:a16="http://schemas.microsoft.com/office/drawing/2014/main" id="{18DBC6F8-D674-75C6-71EC-E575D7FA4DEE}"/>
            </a:ext>
          </a:extLst>
        </xdr:cNvPr>
        <xdr:cNvSpPr txBox="1"/>
      </xdr:nvSpPr>
      <xdr:spPr>
        <a:xfrm>
          <a:off x="8024812" y="1881187"/>
          <a:ext cx="785813" cy="309563"/>
        </a:xfrm>
        <a:prstGeom prst="rect">
          <a:avLst/>
        </a:prstGeom>
        <a:solidFill>
          <a:srgbClr val="AED58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23%</a:t>
          </a:r>
        </a:p>
      </xdr:txBody>
    </xdr:sp>
    <xdr:clientData/>
  </xdr:twoCellAnchor>
  <xdr:twoCellAnchor>
    <xdr:from>
      <xdr:col>16</xdr:col>
      <xdr:colOff>214312</xdr:colOff>
      <xdr:row>9</xdr:row>
      <xdr:rowOff>142875</xdr:rowOff>
    </xdr:from>
    <xdr:to>
      <xdr:col>17</xdr:col>
      <xdr:colOff>500062</xdr:colOff>
      <xdr:row>11</xdr:row>
      <xdr:rowOff>166687</xdr:rowOff>
    </xdr:to>
    <xdr:sp macro="" textlink="'HR Analysis'!C44">
      <xdr:nvSpPr>
        <xdr:cNvPr id="34" name="TextBox 33">
          <a:extLst>
            <a:ext uri="{FF2B5EF4-FFF2-40B4-BE49-F238E27FC236}">
              <a16:creationId xmlns:a16="http://schemas.microsoft.com/office/drawing/2014/main" id="{4C22868D-F0AF-1298-54D2-D2560EAD1134}"/>
            </a:ext>
          </a:extLst>
        </xdr:cNvPr>
        <xdr:cNvSpPr txBox="1"/>
      </xdr:nvSpPr>
      <xdr:spPr>
        <a:xfrm>
          <a:off x="10120312" y="1857375"/>
          <a:ext cx="904875" cy="404812"/>
        </a:xfrm>
        <a:prstGeom prst="rect">
          <a:avLst/>
        </a:prstGeom>
        <a:solidFill>
          <a:srgbClr val="AED58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461D76-1284-4B72-9551-11523A74F8CB}" type="TxLink">
            <a:rPr lang="en-US" sz="1600" b="1" i="0" u="none" strike="noStrike">
              <a:solidFill>
                <a:srgbClr val="000000"/>
              </a:solidFill>
              <a:latin typeface="Calibri"/>
              <a:cs typeface="Calibri"/>
            </a:rPr>
            <a:pPr/>
            <a:t>486911</a:t>
          </a:fld>
          <a:endParaRPr lang="en-US"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0.633261689814" createdVersion="8" refreshedVersion="8" minRefreshableVersion="3" recordCount="150" xr:uid="{60237E62-6266-4D48-91C9-D694C43E9281}">
  <cacheSource type="worksheet">
    <worksheetSource ref="A1:P151" sheet="DB_Formula"/>
  </cacheSource>
  <cacheFields count="16">
    <cacheField name="Emp ID" numFmtId="0">
      <sharedItems/>
    </cacheField>
    <cacheField name="First_Name" numFmtId="0">
      <sharedItems/>
    </cacheField>
    <cacheField name="Last_Name" numFmtId="0">
      <sharedItems/>
    </cacheField>
    <cacheField name="Dept Code" numFmtId="0">
      <sharedItems/>
    </cacheField>
    <cacheField name="Dept Code2" numFmtId="0">
      <sharedItems/>
    </cacheField>
    <cacheField name="Department Name" numFmtId="0">
      <sharedItems count="6">
        <s v="Information Technology"/>
        <s v="Marketing"/>
        <s v="Finance"/>
        <s v="Operations"/>
        <s v="Sales"/>
        <s v="Human Resources"/>
      </sharedItems>
    </cacheField>
    <cacheField name="Hire Date" numFmtId="2">
      <sharedItems containsSemiMixedTypes="0" containsString="0" containsNumber="1" containsInteger="1" minValue="42008" maxValue="45272"/>
    </cacheField>
    <cacheField name="Salary" numFmtId="166">
      <sharedItems containsSemiMixedTypes="0" containsString="0" containsNumber="1" minValue="45196" maxValue="118947"/>
    </cacheField>
    <cacheField name="Perf_Score" numFmtId="0">
      <sharedItems containsSemiMixedTypes="0" containsString="0" containsNumber="1" containsInteger="1" minValue="30" maxValue="99"/>
    </cacheField>
    <cacheField name="Perf_ Band" numFmtId="0">
      <sharedItems count="5">
        <s v="Developing"/>
        <s v="Achieving"/>
        <s v="Needs Improvement"/>
        <s v="Exceeding"/>
        <s v="Outstanding"/>
      </sharedItems>
    </cacheField>
    <cacheField name="Employment Status" numFmtId="0">
      <sharedItems count="5">
        <s v="active"/>
        <s v=" ACTIVE "/>
        <s v=" LEFT "/>
        <s v="Left"/>
        <s v="Resigned"/>
      </sharedItems>
    </cacheField>
    <cacheField name="Employment Status2" numFmtId="0">
      <sharedItems count="3">
        <s v="ACTIVE"/>
        <s v="LEFT"/>
        <s v="RESIGNED"/>
      </sharedItems>
    </cacheField>
    <cacheField name="Year of Service" numFmtId="0">
      <sharedItems containsSemiMixedTypes="0" containsString="0" containsNumber="1" containsInteger="1" minValue="2" maxValue="11" count="10">
        <n v="8"/>
        <n v="4"/>
        <n v="10"/>
        <n v="3"/>
        <n v="6"/>
        <n v="2"/>
        <n v="5"/>
        <n v="9"/>
        <n v="7"/>
        <n v="11"/>
      </sharedItems>
    </cacheField>
    <cacheField name="Bonus Percentage" numFmtId="9">
      <sharedItems containsSemiMixedTypes="0" containsString="0" containsNumber="1" minValue="0" maxValue="0.12"/>
    </cacheField>
    <cacheField name="Eligible Bonus Amount" numFmtId="165">
      <sharedItems containsSemiMixedTypes="0" containsString="0" containsNumber="1" minValue="0" maxValue="14273.64"/>
    </cacheField>
    <cacheField name="Attrition Rate" numFmtId="0">
      <sharedItems count="2">
        <s v="NO"/>
        <s v="YES"/>
      </sharedItems>
    </cacheField>
  </cacheFields>
  <extLst>
    <ext xmlns:x14="http://schemas.microsoft.com/office/spreadsheetml/2009/9/main" uri="{725AE2AE-9491-48be-B2B4-4EB974FC3084}">
      <x14:pivotCacheDefinition pivotCacheId="163122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27"/>
    <s v="Emily"/>
    <s v="Brown"/>
    <s v="IT02"/>
    <s v="IT02"/>
    <x v="0"/>
    <n v="43093"/>
    <n v="50361"/>
    <n v="52"/>
    <x v="0"/>
    <x v="0"/>
    <x v="0"/>
    <x v="0"/>
    <n v="0.02"/>
    <n v="1007.22"/>
    <x v="0"/>
  </r>
  <r>
    <s v="EMP046"/>
    <s v="Richard"/>
    <s v="Hernandez"/>
    <s v="MKT04"/>
    <s v="MKT04"/>
    <x v="1"/>
    <n v="44659"/>
    <n v="112673"/>
    <n v="68"/>
    <x v="0"/>
    <x v="1"/>
    <x v="0"/>
    <x v="1"/>
    <n v="0.02"/>
    <n v="2253.46"/>
    <x v="0"/>
  </r>
  <r>
    <s v="EMP134"/>
    <s v="Emily"/>
    <s v="Gonzalez"/>
    <s v=" IT02 "/>
    <s v="IT02"/>
    <x v="0"/>
    <n v="42431"/>
    <n v="114425"/>
    <n v="54"/>
    <x v="0"/>
    <x v="2"/>
    <x v="1"/>
    <x v="2"/>
    <n v="0.02"/>
    <n v="2288.5"/>
    <x v="1"/>
  </r>
  <r>
    <s v="EMP139"/>
    <s v="John"/>
    <s v="Martinez"/>
    <s v="FIN03"/>
    <s v="FIN03"/>
    <x v="2"/>
    <n v="45110"/>
    <n v="103831"/>
    <n v="70"/>
    <x v="1"/>
    <x v="0"/>
    <x v="0"/>
    <x v="3"/>
    <n v="0.05"/>
    <n v="5191.55"/>
    <x v="0"/>
  </r>
  <r>
    <s v="EMP112"/>
    <s v="Thomas"/>
    <s v="Smith"/>
    <s v="IT02"/>
    <s v="IT02"/>
    <x v="0"/>
    <n v="44977"/>
    <n v="73785"/>
    <n v="40"/>
    <x v="2"/>
    <x v="3"/>
    <x v="1"/>
    <x v="3"/>
    <n v="0"/>
    <n v="0"/>
    <x v="1"/>
  </r>
  <r>
    <s v="EMP030"/>
    <s v="Emily"/>
    <s v="Johnson"/>
    <s v="OPS06"/>
    <s v="OPS06"/>
    <x v="3"/>
    <n v="43892"/>
    <n v="115882"/>
    <n v="49"/>
    <x v="2"/>
    <x v="1"/>
    <x v="0"/>
    <x v="4"/>
    <n v="0"/>
    <n v="0"/>
    <x v="0"/>
  </r>
  <r>
    <s v="EMP096"/>
    <s v="John"/>
    <s v="Wilson"/>
    <s v=" OPS06 "/>
    <s v="OPS06"/>
    <x v="3"/>
    <n v="45272"/>
    <n v="59980"/>
    <n v="70"/>
    <x v="1"/>
    <x v="3"/>
    <x v="1"/>
    <x v="5"/>
    <n v="0.05"/>
    <n v="2999"/>
    <x v="1"/>
  </r>
  <r>
    <s v="EMP098"/>
    <s v="Jessica"/>
    <s v="Smith"/>
    <s v=" OPS06 "/>
    <s v="OPS06"/>
    <x v="3"/>
    <n v="44174"/>
    <n v="68728"/>
    <n v="45"/>
    <x v="2"/>
    <x v="1"/>
    <x v="0"/>
    <x v="6"/>
    <n v="0"/>
    <n v="0"/>
    <x v="0"/>
  </r>
  <r>
    <s v="EMP095"/>
    <s v="Jessica"/>
    <s v="Rodriguez"/>
    <s v="FIN03"/>
    <s v="FIN03"/>
    <x v="2"/>
    <n v="43107"/>
    <n v="102139"/>
    <n v="79"/>
    <x v="1"/>
    <x v="0"/>
    <x v="0"/>
    <x v="0"/>
    <n v="0.05"/>
    <n v="5106.9500000000007"/>
    <x v="0"/>
  </r>
  <r>
    <s v="EMP140"/>
    <s v="Michael"/>
    <s v="Martinez"/>
    <s v="SAL05"/>
    <s v="SAL05"/>
    <x v="4"/>
    <n v="42676"/>
    <n v="94998"/>
    <n v="58"/>
    <x v="0"/>
    <x v="0"/>
    <x v="0"/>
    <x v="7"/>
    <n v="0.02"/>
    <n v="1899.96"/>
    <x v="0"/>
  </r>
  <r>
    <s v="EMP020"/>
    <s v="Emily"/>
    <s v="Miller"/>
    <s v="SAL05"/>
    <s v="SAL05"/>
    <x v="4"/>
    <n v="43911"/>
    <n v="118635"/>
    <n v="49"/>
    <x v="2"/>
    <x v="0"/>
    <x v="0"/>
    <x v="4"/>
    <n v="0"/>
    <n v="0"/>
    <x v="0"/>
  </r>
  <r>
    <s v="EMP057"/>
    <s v="Emily"/>
    <s v="Hernandez"/>
    <s v="IT02"/>
    <s v="IT02"/>
    <x v="0"/>
    <n v="42425"/>
    <n v="76918"/>
    <n v="62"/>
    <x v="0"/>
    <x v="0"/>
    <x v="0"/>
    <x v="2"/>
    <n v="0.02"/>
    <n v="1538.3600000000001"/>
    <x v="0"/>
  </r>
  <r>
    <s v="EMP016"/>
    <s v="Jane"/>
    <s v="Williams"/>
    <s v="MKT04"/>
    <s v="MKT04"/>
    <x v="1"/>
    <n v="44364"/>
    <n v="61408"/>
    <n v="48"/>
    <x v="2"/>
    <x v="1"/>
    <x v="0"/>
    <x v="6"/>
    <n v="0"/>
    <n v="0"/>
    <x v="0"/>
  </r>
  <r>
    <s v="EMP070"/>
    <s v="Jane"/>
    <s v="Miller"/>
    <s v="MKT04"/>
    <s v="MKT04"/>
    <x v="1"/>
    <n v="44001"/>
    <n v="99990"/>
    <n v="54"/>
    <x v="0"/>
    <x v="0"/>
    <x v="0"/>
    <x v="4"/>
    <n v="0.02"/>
    <n v="1999.8"/>
    <x v="0"/>
  </r>
  <r>
    <s v="EMP025"/>
    <s v="Robert"/>
    <s v="Jones"/>
    <s v=" MKT04 "/>
    <s v="MKT04"/>
    <x v="1"/>
    <n v="43820"/>
    <n v="80385"/>
    <n v="68"/>
    <x v="0"/>
    <x v="0"/>
    <x v="0"/>
    <x v="4"/>
    <n v="0.02"/>
    <n v="1607.7"/>
    <x v="0"/>
  </r>
  <r>
    <s v="EMP031"/>
    <s v="Thomas"/>
    <s v="Rodriguez"/>
    <s v="SAL05"/>
    <s v="SAL05"/>
    <x v="4"/>
    <n v="45169"/>
    <n v="65290"/>
    <n v="77"/>
    <x v="1"/>
    <x v="0"/>
    <x v="0"/>
    <x v="5"/>
    <n v="0.05"/>
    <n v="3264.5"/>
    <x v="0"/>
  </r>
  <r>
    <s v="EMP126"/>
    <s v="Emily"/>
    <s v="Davis"/>
    <s v="IT02"/>
    <s v="IT02"/>
    <x v="0"/>
    <n v="42337"/>
    <n v="105765"/>
    <n v="42"/>
    <x v="2"/>
    <x v="0"/>
    <x v="0"/>
    <x v="2"/>
    <n v="0"/>
    <n v="0"/>
    <x v="0"/>
  </r>
  <r>
    <s v="EMP109"/>
    <s v="James"/>
    <s v="Martinez"/>
    <s v="SAL05"/>
    <s v="SAL05"/>
    <x v="4"/>
    <n v="42899"/>
    <n v="102921"/>
    <n v="49"/>
    <x v="2"/>
    <x v="1"/>
    <x v="0"/>
    <x v="7"/>
    <n v="0"/>
    <n v="0"/>
    <x v="0"/>
  </r>
  <r>
    <s v="EMP066"/>
    <s v="Emily"/>
    <s v="Lopez"/>
    <s v="MKT04"/>
    <s v="MKT04"/>
    <x v="1"/>
    <n v="43235"/>
    <n v="73984"/>
    <n v="93"/>
    <x v="3"/>
    <x v="0"/>
    <x v="0"/>
    <x v="0"/>
    <n v="0.08"/>
    <n v="5918.72"/>
    <x v="0"/>
  </r>
  <r>
    <s v="EMP120"/>
    <s v="Ashley"/>
    <s v="Gonzalez"/>
    <s v="IT02"/>
    <s v="IT02"/>
    <x v="0"/>
    <n v="42575"/>
    <n v="83603.929999999993"/>
    <n v="75"/>
    <x v="1"/>
    <x v="0"/>
    <x v="0"/>
    <x v="7"/>
    <n v="0.05"/>
    <n v="4180.1965"/>
    <x v="0"/>
  </r>
  <r>
    <s v="EMP019"/>
    <s v="Amanda"/>
    <s v="Hernandez"/>
    <s v="FIN03"/>
    <s v="FIN03"/>
    <x v="2"/>
    <n v="43076"/>
    <n v="118527"/>
    <n v="50"/>
    <x v="0"/>
    <x v="0"/>
    <x v="0"/>
    <x v="0"/>
    <n v="0.02"/>
    <n v="2370.54"/>
    <x v="0"/>
  </r>
  <r>
    <s v="EMP013"/>
    <s v="Michael"/>
    <s v="Hernandez"/>
    <s v="MKT04"/>
    <s v="MKT04"/>
    <x v="1"/>
    <n v="44353"/>
    <n v="107871"/>
    <n v="88"/>
    <x v="3"/>
    <x v="0"/>
    <x v="0"/>
    <x v="6"/>
    <n v="0.08"/>
    <n v="8629.68"/>
    <x v="0"/>
  </r>
  <r>
    <s v="EMP010"/>
    <s v="Richard"/>
    <s v="Rodriguez"/>
    <s v=" IT02 "/>
    <s v="IT02"/>
    <x v="0"/>
    <n v="44815"/>
    <n v="93956"/>
    <n v="50"/>
    <x v="0"/>
    <x v="2"/>
    <x v="1"/>
    <x v="3"/>
    <n v="0.02"/>
    <n v="1879.1200000000001"/>
    <x v="1"/>
  </r>
  <r>
    <s v="EMP032"/>
    <s v="Michael"/>
    <s v="Johnson"/>
    <s v=" FIN03 "/>
    <s v="FIN03"/>
    <x v="2"/>
    <n v="42565"/>
    <n v="100851"/>
    <n v="64"/>
    <x v="0"/>
    <x v="1"/>
    <x v="0"/>
    <x v="7"/>
    <n v="0.02"/>
    <n v="2017.02"/>
    <x v="0"/>
  </r>
  <r>
    <s v="EMP082"/>
    <s v="Jessica"/>
    <s v="Williams"/>
    <s v="SAL05"/>
    <s v="SAL05"/>
    <x v="4"/>
    <n v="44728"/>
    <n v="68655"/>
    <n v="32"/>
    <x v="2"/>
    <x v="0"/>
    <x v="0"/>
    <x v="1"/>
    <n v="0"/>
    <n v="0"/>
    <x v="0"/>
  </r>
  <r>
    <s v="EMP052"/>
    <s v="Ashley"/>
    <s v="Williams"/>
    <s v=" SAL05 "/>
    <s v="SAL05"/>
    <x v="4"/>
    <n v="45134"/>
    <n v="81205"/>
    <n v="59"/>
    <x v="0"/>
    <x v="0"/>
    <x v="0"/>
    <x v="5"/>
    <n v="0.02"/>
    <n v="1624.1000000000001"/>
    <x v="0"/>
  </r>
  <r>
    <s v="EMP129"/>
    <s v="Ashley"/>
    <s v="Wilson"/>
    <s v="SAL05"/>
    <s v="SAL05"/>
    <x v="4"/>
    <n v="43732"/>
    <n v="77610"/>
    <n v="88"/>
    <x v="3"/>
    <x v="0"/>
    <x v="0"/>
    <x v="4"/>
    <n v="0.08"/>
    <n v="6208.8"/>
    <x v="0"/>
  </r>
  <r>
    <s v="EMP146"/>
    <s v="John"/>
    <s v="Rodriguez"/>
    <s v="IT02"/>
    <s v="IT02"/>
    <x v="0"/>
    <n v="44765"/>
    <n v="50873"/>
    <n v="90"/>
    <x v="3"/>
    <x v="0"/>
    <x v="0"/>
    <x v="3"/>
    <n v="0.08"/>
    <n v="4069.84"/>
    <x v="0"/>
  </r>
  <r>
    <s v="EMP099"/>
    <s v="Thomas"/>
    <s v="Wilson"/>
    <s v="FIN03"/>
    <s v="FIN03"/>
    <x v="2"/>
    <n v="43233"/>
    <n v="85312"/>
    <n v="66"/>
    <x v="0"/>
    <x v="0"/>
    <x v="0"/>
    <x v="0"/>
    <n v="0.02"/>
    <n v="1706.24"/>
    <x v="0"/>
  </r>
  <r>
    <s v="EMP015"/>
    <s v="Michael"/>
    <s v="Rodriguez"/>
    <s v="SAL05"/>
    <s v="SAL05"/>
    <x v="4"/>
    <n v="42202"/>
    <n v="83603.929999999993"/>
    <n v="68"/>
    <x v="0"/>
    <x v="0"/>
    <x v="0"/>
    <x v="2"/>
    <n v="0.02"/>
    <n v="1672.0785999999998"/>
    <x v="0"/>
  </r>
  <r>
    <s v="EMP076"/>
    <s v="John"/>
    <s v="Hernandez"/>
    <s v="OPS06"/>
    <s v="OPS06"/>
    <x v="3"/>
    <n v="42221"/>
    <n v="97055"/>
    <n v="80"/>
    <x v="1"/>
    <x v="0"/>
    <x v="0"/>
    <x v="2"/>
    <n v="0.05"/>
    <n v="4852.75"/>
    <x v="0"/>
  </r>
  <r>
    <s v="EMP137"/>
    <s v="Thomas"/>
    <s v="Johnson"/>
    <s v="IT02"/>
    <s v="IT02"/>
    <x v="0"/>
    <n v="45195"/>
    <n v="66069"/>
    <n v="72"/>
    <x v="1"/>
    <x v="0"/>
    <x v="0"/>
    <x v="5"/>
    <n v="0.05"/>
    <n v="3303.4500000000003"/>
    <x v="0"/>
  </r>
  <r>
    <s v="EMP056"/>
    <s v="Michael"/>
    <s v="Brown"/>
    <s v="IT02"/>
    <s v="IT02"/>
    <x v="0"/>
    <n v="43626"/>
    <n v="90157"/>
    <n v="58"/>
    <x v="0"/>
    <x v="0"/>
    <x v="0"/>
    <x v="8"/>
    <n v="0.02"/>
    <n v="1803.14"/>
    <x v="0"/>
  </r>
  <r>
    <s v="EMP125"/>
    <s v="Sarah"/>
    <s v="Martinez"/>
    <s v="HR01"/>
    <s v="HR01"/>
    <x v="5"/>
    <n v="44578"/>
    <n v="59899"/>
    <n v="78"/>
    <x v="1"/>
    <x v="0"/>
    <x v="0"/>
    <x v="1"/>
    <n v="0.05"/>
    <n v="2994.9500000000003"/>
    <x v="0"/>
  </r>
  <r>
    <s v="EMP085"/>
    <s v="Jane"/>
    <s v="Jones"/>
    <s v=" FIN03 "/>
    <s v="FIN03"/>
    <x v="2"/>
    <n v="42919"/>
    <n v="113389"/>
    <n v="30"/>
    <x v="2"/>
    <x v="1"/>
    <x v="0"/>
    <x v="7"/>
    <n v="0"/>
    <n v="0"/>
    <x v="0"/>
  </r>
  <r>
    <s v="EMP106"/>
    <s v="Emily"/>
    <s v="Brown"/>
    <s v=" IT02 "/>
    <s v="IT02"/>
    <x v="0"/>
    <n v="42248"/>
    <n v="102691"/>
    <n v="52"/>
    <x v="0"/>
    <x v="0"/>
    <x v="0"/>
    <x v="2"/>
    <n v="0.02"/>
    <n v="2053.8200000000002"/>
    <x v="0"/>
  </r>
  <r>
    <s v="EMP043"/>
    <s v="Emily"/>
    <s v="Wilson"/>
    <s v="OPS06"/>
    <s v="OPS06"/>
    <x v="3"/>
    <n v="44776"/>
    <n v="111845"/>
    <n v="98"/>
    <x v="4"/>
    <x v="0"/>
    <x v="0"/>
    <x v="3"/>
    <n v="0.12"/>
    <n v="13421.4"/>
    <x v="0"/>
  </r>
  <r>
    <s v="EMP068"/>
    <s v="John"/>
    <s v="Brown"/>
    <s v=" SAL05 "/>
    <s v="SAL05"/>
    <x v="4"/>
    <n v="44741"/>
    <n v="69219"/>
    <n v="93"/>
    <x v="3"/>
    <x v="0"/>
    <x v="0"/>
    <x v="1"/>
    <n v="0.08"/>
    <n v="5537.52"/>
    <x v="0"/>
  </r>
  <r>
    <s v="EMP128"/>
    <s v="Melissa"/>
    <s v="Smith"/>
    <s v="FIN03"/>
    <s v="FIN03"/>
    <x v="2"/>
    <n v="43949"/>
    <n v="83603.929999999993"/>
    <n v="80"/>
    <x v="1"/>
    <x v="3"/>
    <x v="1"/>
    <x v="4"/>
    <n v="0.05"/>
    <n v="4180.1965"/>
    <x v="1"/>
  </r>
  <r>
    <s v="EMP027"/>
    <s v="Michael"/>
    <s v="Miller"/>
    <s v="OPS06"/>
    <s v="OPS06"/>
    <x v="3"/>
    <n v="42987"/>
    <n v="57514"/>
    <n v="68"/>
    <x v="0"/>
    <x v="0"/>
    <x v="0"/>
    <x v="0"/>
    <n v="0.02"/>
    <n v="1150.28"/>
    <x v="0"/>
  </r>
  <r>
    <s v="EMP136"/>
    <s v="Sarah"/>
    <s v="Wilson"/>
    <s v="SAL05"/>
    <s v="SAL05"/>
    <x v="4"/>
    <n v="43181"/>
    <n v="86245"/>
    <n v="71"/>
    <x v="1"/>
    <x v="2"/>
    <x v="1"/>
    <x v="0"/>
    <n v="0.05"/>
    <n v="4312.25"/>
    <x v="1"/>
  </r>
  <r>
    <s v="EMP079"/>
    <s v="Emily"/>
    <s v="Hernandez"/>
    <s v="SAL05"/>
    <s v="SAL05"/>
    <x v="4"/>
    <n v="43958"/>
    <n v="52407"/>
    <n v="55"/>
    <x v="0"/>
    <x v="0"/>
    <x v="0"/>
    <x v="4"/>
    <n v="0.02"/>
    <n v="1048.1400000000001"/>
    <x v="0"/>
  </r>
  <r>
    <s v="EMP149"/>
    <s v="David"/>
    <s v="Smith"/>
    <s v=" OPS06 "/>
    <s v="OPS06"/>
    <x v="3"/>
    <n v="43549"/>
    <n v="66606"/>
    <n v="93"/>
    <x v="3"/>
    <x v="4"/>
    <x v="2"/>
    <x v="8"/>
    <n v="0.08"/>
    <n v="5328.4800000000005"/>
    <x v="1"/>
  </r>
  <r>
    <s v="EMP037"/>
    <s v="James"/>
    <s v="Williams"/>
    <s v="IT02"/>
    <s v="IT02"/>
    <x v="0"/>
    <n v="43686"/>
    <n v="81896"/>
    <n v="79"/>
    <x v="1"/>
    <x v="4"/>
    <x v="2"/>
    <x v="4"/>
    <n v="0.05"/>
    <n v="4094.8"/>
    <x v="1"/>
  </r>
  <r>
    <s v="EMP077"/>
    <s v="Sarah"/>
    <s v="Lopez"/>
    <s v="SAL05"/>
    <s v="SAL05"/>
    <x v="4"/>
    <n v="42565"/>
    <n v="78402"/>
    <n v="54"/>
    <x v="0"/>
    <x v="1"/>
    <x v="0"/>
    <x v="7"/>
    <n v="0.02"/>
    <n v="1568.04"/>
    <x v="0"/>
  </r>
  <r>
    <s v="EMP023"/>
    <s v="Amanda"/>
    <s v="Lopez"/>
    <s v=" OPS06 "/>
    <s v="OPS06"/>
    <x v="3"/>
    <n v="42647"/>
    <n v="105498"/>
    <n v="76"/>
    <x v="1"/>
    <x v="0"/>
    <x v="0"/>
    <x v="7"/>
    <n v="0.05"/>
    <n v="5274.9000000000005"/>
    <x v="0"/>
  </r>
  <r>
    <s v="EMP133"/>
    <s v="Thomas"/>
    <s v="Johnson"/>
    <s v="MKT04"/>
    <s v="MKT04"/>
    <x v="1"/>
    <n v="43656"/>
    <n v="91749"/>
    <n v="72"/>
    <x v="1"/>
    <x v="3"/>
    <x v="1"/>
    <x v="4"/>
    <n v="0.05"/>
    <n v="4587.45"/>
    <x v="1"/>
  </r>
  <r>
    <s v="EMP141"/>
    <s v="Melissa"/>
    <s v="Johnson"/>
    <s v=" OPS06 "/>
    <s v="OPS06"/>
    <x v="3"/>
    <n v="44437"/>
    <n v="99935"/>
    <n v="84"/>
    <x v="1"/>
    <x v="4"/>
    <x v="2"/>
    <x v="1"/>
    <n v="0.05"/>
    <n v="4996.75"/>
    <x v="1"/>
  </r>
  <r>
    <s v="EMP012"/>
    <s v="Amanda"/>
    <s v="Davis"/>
    <s v=" IT02 "/>
    <s v="IT02"/>
    <x v="0"/>
    <n v="42761"/>
    <n v="83531"/>
    <n v="30"/>
    <x v="2"/>
    <x v="3"/>
    <x v="1"/>
    <x v="7"/>
    <n v="0"/>
    <n v="0"/>
    <x v="1"/>
  </r>
  <r>
    <s v="EMP080"/>
    <s v="John"/>
    <s v="Johnson"/>
    <s v="MKT04"/>
    <s v="MKT04"/>
    <x v="1"/>
    <n v="43981"/>
    <n v="75023"/>
    <n v="68"/>
    <x v="0"/>
    <x v="1"/>
    <x v="0"/>
    <x v="4"/>
    <n v="0.02"/>
    <n v="1500.46"/>
    <x v="0"/>
  </r>
  <r>
    <s v="EMP069"/>
    <s v="James"/>
    <s v="Davis"/>
    <s v="HR01"/>
    <s v="HR01"/>
    <x v="5"/>
    <n v="44612"/>
    <n v="93290"/>
    <n v="53"/>
    <x v="0"/>
    <x v="1"/>
    <x v="0"/>
    <x v="1"/>
    <n v="0.02"/>
    <n v="1865.8"/>
    <x v="0"/>
  </r>
  <r>
    <s v="EMP150"/>
    <s v="Jane"/>
    <s v="Davis"/>
    <s v="OPS06"/>
    <s v="OPS06"/>
    <x v="3"/>
    <n v="42628"/>
    <n v="115527"/>
    <n v="63"/>
    <x v="0"/>
    <x v="4"/>
    <x v="2"/>
    <x v="7"/>
    <n v="0.02"/>
    <n v="2310.54"/>
    <x v="1"/>
  </r>
  <r>
    <s v="EMP028"/>
    <s v="Richard"/>
    <s v="Rodriguez"/>
    <s v=" FIN03 "/>
    <s v="FIN03"/>
    <x v="2"/>
    <n v="43745"/>
    <n v="55920"/>
    <n v="84"/>
    <x v="1"/>
    <x v="0"/>
    <x v="0"/>
    <x v="4"/>
    <n v="0.05"/>
    <n v="2796"/>
    <x v="0"/>
  </r>
  <r>
    <s v="EMP087"/>
    <s v="Thomas"/>
    <s v="Johnson"/>
    <s v="SAL05"/>
    <s v="SAL05"/>
    <x v="4"/>
    <n v="43464"/>
    <n v="80189"/>
    <n v="30"/>
    <x v="2"/>
    <x v="0"/>
    <x v="0"/>
    <x v="8"/>
    <n v="0"/>
    <n v="0"/>
    <x v="0"/>
  </r>
  <r>
    <s v="EMP119"/>
    <s v="Emily"/>
    <s v="Garcia"/>
    <s v="HR01"/>
    <s v="HR01"/>
    <x v="5"/>
    <n v="44189"/>
    <n v="118947"/>
    <n v="96"/>
    <x v="4"/>
    <x v="0"/>
    <x v="0"/>
    <x v="6"/>
    <n v="0.12"/>
    <n v="14273.64"/>
    <x v="0"/>
  </r>
  <r>
    <s v="EMP042"/>
    <s v="Emily"/>
    <s v="Anderson"/>
    <s v="IT02"/>
    <s v="IT02"/>
    <x v="0"/>
    <n v="45112"/>
    <n v="83603.929999999993"/>
    <n v="54"/>
    <x v="0"/>
    <x v="0"/>
    <x v="0"/>
    <x v="3"/>
    <n v="0.02"/>
    <n v="1672.0785999999998"/>
    <x v="0"/>
  </r>
  <r>
    <s v="EMP005"/>
    <s v="Jane"/>
    <s v="Garcia"/>
    <s v=" OPS06 "/>
    <s v="OPS06"/>
    <x v="3"/>
    <n v="44148"/>
    <n v="83603.929999999993"/>
    <n v="75"/>
    <x v="1"/>
    <x v="0"/>
    <x v="0"/>
    <x v="6"/>
    <n v="0.05"/>
    <n v="4180.1965"/>
    <x v="0"/>
  </r>
  <r>
    <s v="EMP033"/>
    <s v="Thomas"/>
    <s v="Martinez"/>
    <s v="HR01"/>
    <s v="HR01"/>
    <x v="5"/>
    <n v="43138"/>
    <n v="91655"/>
    <n v="95"/>
    <x v="4"/>
    <x v="0"/>
    <x v="0"/>
    <x v="0"/>
    <n v="0.12"/>
    <n v="10998.6"/>
    <x v="0"/>
  </r>
  <r>
    <s v="EMP061"/>
    <s v="David"/>
    <s v="Brown"/>
    <s v="IT02"/>
    <s v="IT02"/>
    <x v="0"/>
    <n v="45255"/>
    <n v="49435"/>
    <n v="68"/>
    <x v="0"/>
    <x v="3"/>
    <x v="1"/>
    <x v="5"/>
    <n v="0.02"/>
    <n v="988.7"/>
    <x v="1"/>
  </r>
  <r>
    <s v="EMP102"/>
    <s v="Emily"/>
    <s v="Wilson"/>
    <s v="SAL05"/>
    <s v="SAL05"/>
    <x v="4"/>
    <n v="45217"/>
    <n v="110381"/>
    <n v="93"/>
    <x v="3"/>
    <x v="0"/>
    <x v="0"/>
    <x v="5"/>
    <n v="0.08"/>
    <n v="8830.48"/>
    <x v="0"/>
  </r>
  <r>
    <s v="EMP067"/>
    <s v="Emily"/>
    <s v="Anderson"/>
    <s v="HR01"/>
    <s v="HR01"/>
    <x v="5"/>
    <n v="44079"/>
    <n v="114748"/>
    <n v="33"/>
    <x v="2"/>
    <x v="0"/>
    <x v="0"/>
    <x v="6"/>
    <n v="0"/>
    <n v="0"/>
    <x v="0"/>
  </r>
  <r>
    <s v="EMP017"/>
    <s v="Michael"/>
    <s v="Johnson"/>
    <s v="OPS06"/>
    <s v="OPS06"/>
    <x v="3"/>
    <n v="42800"/>
    <n v="63302"/>
    <n v="91"/>
    <x v="3"/>
    <x v="0"/>
    <x v="0"/>
    <x v="7"/>
    <n v="0.08"/>
    <n v="5064.16"/>
    <x v="0"/>
  </r>
  <r>
    <s v="EMP123"/>
    <s v="Robert"/>
    <s v="Miller"/>
    <s v="IT02"/>
    <s v="IT02"/>
    <x v="0"/>
    <n v="42122"/>
    <n v="75519"/>
    <n v="64"/>
    <x v="0"/>
    <x v="0"/>
    <x v="0"/>
    <x v="9"/>
    <n v="0.02"/>
    <n v="1510.38"/>
    <x v="0"/>
  </r>
  <r>
    <s v="EMP011"/>
    <s v="Robert"/>
    <s v="Davis"/>
    <s v=" FIN03 "/>
    <s v="FIN03"/>
    <x v="2"/>
    <n v="42838"/>
    <n v="103891"/>
    <n v="80"/>
    <x v="1"/>
    <x v="0"/>
    <x v="0"/>
    <x v="7"/>
    <n v="0.05"/>
    <n v="5194.55"/>
    <x v="0"/>
  </r>
  <r>
    <s v="EMP091"/>
    <s v="Jane"/>
    <s v="Davis"/>
    <s v="OPS06"/>
    <s v="OPS06"/>
    <x v="3"/>
    <n v="44827"/>
    <n v="83603.929999999993"/>
    <n v="46"/>
    <x v="2"/>
    <x v="2"/>
    <x v="1"/>
    <x v="3"/>
    <n v="0"/>
    <n v="0"/>
    <x v="1"/>
  </r>
  <r>
    <s v="EMP145"/>
    <s v="Thomas"/>
    <s v="Jones"/>
    <s v=" MKT04 "/>
    <s v="MKT04"/>
    <x v="1"/>
    <n v="42685"/>
    <n v="50936"/>
    <n v="99"/>
    <x v="4"/>
    <x v="0"/>
    <x v="0"/>
    <x v="7"/>
    <n v="0.12"/>
    <n v="6112.32"/>
    <x v="0"/>
  </r>
  <r>
    <s v="EMP001"/>
    <s v="Thomas"/>
    <s v="Miller"/>
    <s v=" SAL05 "/>
    <s v="SAL05"/>
    <x v="4"/>
    <n v="42818"/>
    <n v="111240"/>
    <n v="68"/>
    <x v="0"/>
    <x v="0"/>
    <x v="0"/>
    <x v="7"/>
    <n v="0.02"/>
    <n v="2224.8000000000002"/>
    <x v="0"/>
  </r>
  <r>
    <s v="EMP113"/>
    <s v="Michael"/>
    <s v="Gonzalez"/>
    <s v="HR01"/>
    <s v="HR01"/>
    <x v="5"/>
    <n v="43590"/>
    <n v="51567"/>
    <n v="87"/>
    <x v="3"/>
    <x v="4"/>
    <x v="2"/>
    <x v="8"/>
    <n v="0.08"/>
    <n v="4125.3599999999997"/>
    <x v="1"/>
  </r>
  <r>
    <s v="EMP065"/>
    <s v="Richard"/>
    <s v="Williams"/>
    <s v=" HR01 "/>
    <s v="HR01"/>
    <x v="5"/>
    <n v="44402"/>
    <n v="83603.929999999993"/>
    <n v="36"/>
    <x v="2"/>
    <x v="0"/>
    <x v="0"/>
    <x v="1"/>
    <n v="0"/>
    <n v="0"/>
    <x v="0"/>
  </r>
  <r>
    <s v="EMP045"/>
    <s v="Melissa"/>
    <s v="Miller"/>
    <s v="HR01"/>
    <s v="HR01"/>
    <x v="5"/>
    <n v="43008"/>
    <n v="55270"/>
    <n v="87"/>
    <x v="3"/>
    <x v="0"/>
    <x v="0"/>
    <x v="0"/>
    <n v="0.08"/>
    <n v="4421.6000000000004"/>
    <x v="0"/>
  </r>
  <r>
    <s v="EMP083"/>
    <s v="Robert"/>
    <s v="Garcia"/>
    <s v="SAL05"/>
    <s v="SAL05"/>
    <x v="4"/>
    <n v="42192"/>
    <n v="65235"/>
    <n v="97"/>
    <x v="4"/>
    <x v="1"/>
    <x v="0"/>
    <x v="9"/>
    <n v="0.12"/>
    <n v="7828.2"/>
    <x v="0"/>
  </r>
  <r>
    <s v="EMP029"/>
    <s v="William"/>
    <s v="Gonzalez"/>
    <s v="SAL05"/>
    <s v="SAL05"/>
    <x v="4"/>
    <n v="43283"/>
    <n v="83603.929999999993"/>
    <n v="72"/>
    <x v="1"/>
    <x v="2"/>
    <x v="1"/>
    <x v="0"/>
    <n v="0.05"/>
    <n v="4180.1965"/>
    <x v="1"/>
  </r>
  <r>
    <s v="EMP041"/>
    <s v="John"/>
    <s v="Gonzalez"/>
    <s v="SAL05"/>
    <s v="SAL05"/>
    <x v="4"/>
    <n v="44819"/>
    <n v="83603.929999999993"/>
    <n v="65"/>
    <x v="0"/>
    <x v="2"/>
    <x v="1"/>
    <x v="3"/>
    <n v="0.02"/>
    <n v="1672.0785999999998"/>
    <x v="1"/>
  </r>
  <r>
    <s v="EMP026"/>
    <s v="James"/>
    <s v="Gonzalez"/>
    <s v=" SAL05 "/>
    <s v="SAL05"/>
    <x v="4"/>
    <n v="42249"/>
    <n v="83603.929999999993"/>
    <n v="67"/>
    <x v="0"/>
    <x v="0"/>
    <x v="0"/>
    <x v="2"/>
    <n v="0.02"/>
    <n v="1672.0785999999998"/>
    <x v="0"/>
  </r>
  <r>
    <s v="EMP024"/>
    <s v="Robert"/>
    <s v="Wilson"/>
    <s v="OPS06"/>
    <s v="OPS06"/>
    <x v="3"/>
    <n v="42654"/>
    <n v="48823"/>
    <n v="34"/>
    <x v="2"/>
    <x v="1"/>
    <x v="0"/>
    <x v="7"/>
    <n v="0"/>
    <n v="0"/>
    <x v="0"/>
  </r>
  <r>
    <s v="EMP111"/>
    <s v="Jane"/>
    <s v="Gonzalez"/>
    <s v=" FIN03 "/>
    <s v="FIN03"/>
    <x v="2"/>
    <n v="43575"/>
    <n v="45196"/>
    <n v="78"/>
    <x v="1"/>
    <x v="2"/>
    <x v="1"/>
    <x v="8"/>
    <n v="0.05"/>
    <n v="2259.8000000000002"/>
    <x v="1"/>
  </r>
  <r>
    <s v="EMP040"/>
    <s v="David"/>
    <s v="Rodriguez"/>
    <s v="IT02"/>
    <s v="IT02"/>
    <x v="0"/>
    <n v="42785"/>
    <n v="86246"/>
    <n v="61"/>
    <x v="0"/>
    <x v="0"/>
    <x v="0"/>
    <x v="7"/>
    <n v="0.02"/>
    <n v="1724.92"/>
    <x v="0"/>
  </r>
  <r>
    <s v="EMP086"/>
    <s v="Jane"/>
    <s v="Miller"/>
    <s v="SAL05"/>
    <s v="SAL05"/>
    <x v="4"/>
    <n v="44446"/>
    <n v="70359"/>
    <n v="74"/>
    <x v="1"/>
    <x v="3"/>
    <x v="1"/>
    <x v="1"/>
    <n v="0.05"/>
    <n v="3517.9500000000003"/>
    <x v="1"/>
  </r>
  <r>
    <s v="EMP124"/>
    <s v="Jane"/>
    <s v="Miller"/>
    <s v=" MKT04 "/>
    <s v="MKT04"/>
    <x v="1"/>
    <n v="43599"/>
    <n v="83603.929999999993"/>
    <n v="94"/>
    <x v="3"/>
    <x v="1"/>
    <x v="0"/>
    <x v="8"/>
    <n v="0.08"/>
    <n v="6688.3143999999993"/>
    <x v="0"/>
  </r>
  <r>
    <s v="EMP132"/>
    <s v="Emily"/>
    <s v="Garcia"/>
    <s v=" OPS06 "/>
    <s v="OPS06"/>
    <x v="3"/>
    <n v="42330"/>
    <n v="86480"/>
    <n v="68"/>
    <x v="0"/>
    <x v="1"/>
    <x v="0"/>
    <x v="2"/>
    <n v="0.02"/>
    <n v="1729.6000000000001"/>
    <x v="0"/>
  </r>
  <r>
    <s v="EMP048"/>
    <s v="Sarah"/>
    <s v="Smith"/>
    <s v="HR01"/>
    <s v="HR01"/>
    <x v="5"/>
    <n v="43372"/>
    <n v="47694"/>
    <n v="75"/>
    <x v="1"/>
    <x v="1"/>
    <x v="0"/>
    <x v="8"/>
    <n v="0.05"/>
    <n v="2384.7000000000003"/>
    <x v="0"/>
  </r>
  <r>
    <s v="EMP114"/>
    <s v="Thomas"/>
    <s v="Wilson"/>
    <s v="IT02"/>
    <s v="IT02"/>
    <x v="0"/>
    <n v="45171"/>
    <n v="83724"/>
    <n v="81"/>
    <x v="1"/>
    <x v="4"/>
    <x v="2"/>
    <x v="5"/>
    <n v="0.05"/>
    <n v="4186.2"/>
    <x v="1"/>
  </r>
  <r>
    <s v="EMP062"/>
    <s v="Jessica"/>
    <s v="Williams"/>
    <s v=" FIN03 "/>
    <s v="FIN03"/>
    <x v="2"/>
    <n v="44759"/>
    <n v="98299"/>
    <n v="61"/>
    <x v="0"/>
    <x v="0"/>
    <x v="0"/>
    <x v="3"/>
    <n v="0.02"/>
    <n v="1965.98"/>
    <x v="0"/>
  </r>
  <r>
    <s v="EMP074"/>
    <s v="Richard"/>
    <s v="Williams"/>
    <s v="FIN03"/>
    <s v="FIN03"/>
    <x v="2"/>
    <n v="44234"/>
    <n v="83603.929999999993"/>
    <n v="68"/>
    <x v="0"/>
    <x v="0"/>
    <x v="0"/>
    <x v="6"/>
    <n v="0.02"/>
    <n v="1672.0785999999998"/>
    <x v="0"/>
  </r>
  <r>
    <s v="EMP034"/>
    <s v="Melissa"/>
    <s v="Johnson"/>
    <s v="IT02"/>
    <s v="IT02"/>
    <x v="0"/>
    <n v="45203"/>
    <n v="52287"/>
    <n v="70"/>
    <x v="1"/>
    <x v="0"/>
    <x v="0"/>
    <x v="5"/>
    <n v="0.05"/>
    <n v="2614.3500000000004"/>
    <x v="0"/>
  </r>
  <r>
    <s v="EMP105"/>
    <s v="Thomas"/>
    <s v="Gonzalez"/>
    <s v="IT02"/>
    <s v="IT02"/>
    <x v="0"/>
    <n v="44073"/>
    <n v="82633"/>
    <n v="98"/>
    <x v="4"/>
    <x v="1"/>
    <x v="0"/>
    <x v="6"/>
    <n v="0.12"/>
    <n v="9915.9599999999991"/>
    <x v="0"/>
  </r>
  <r>
    <s v="EMP118"/>
    <s v="David"/>
    <s v="Anderson"/>
    <s v=" OPS06 "/>
    <s v="OPS06"/>
    <x v="3"/>
    <n v="44422"/>
    <n v="46508"/>
    <n v="34"/>
    <x v="2"/>
    <x v="0"/>
    <x v="0"/>
    <x v="1"/>
    <n v="0"/>
    <n v="0"/>
    <x v="0"/>
  </r>
  <r>
    <s v="EMP063"/>
    <s v="John"/>
    <s v="Gonzalez"/>
    <s v="HR01"/>
    <s v="HR01"/>
    <x v="5"/>
    <n v="43796"/>
    <n v="86232"/>
    <n v="93"/>
    <x v="3"/>
    <x v="0"/>
    <x v="0"/>
    <x v="4"/>
    <n v="0.08"/>
    <n v="6898.56"/>
    <x v="0"/>
  </r>
  <r>
    <s v="EMP094"/>
    <s v="Richard"/>
    <s v="Davis"/>
    <s v="IT02"/>
    <s v="IT02"/>
    <x v="0"/>
    <n v="42880"/>
    <n v="77545"/>
    <n v="48"/>
    <x v="2"/>
    <x v="0"/>
    <x v="0"/>
    <x v="7"/>
    <n v="0"/>
    <n v="0"/>
    <x v="0"/>
  </r>
  <r>
    <s v="EMP097"/>
    <s v="Melissa"/>
    <s v="Gonzalez"/>
    <s v=" OPS06 "/>
    <s v="OPS06"/>
    <x v="3"/>
    <n v="43436"/>
    <n v="68683"/>
    <n v="90"/>
    <x v="3"/>
    <x v="0"/>
    <x v="0"/>
    <x v="8"/>
    <n v="0.08"/>
    <n v="5494.64"/>
    <x v="0"/>
  </r>
  <r>
    <s v="EMP054"/>
    <s v="Emily"/>
    <s v="Jones"/>
    <s v="FIN03"/>
    <s v="FIN03"/>
    <x v="2"/>
    <n v="43639"/>
    <n v="83932"/>
    <n v="57"/>
    <x v="0"/>
    <x v="2"/>
    <x v="1"/>
    <x v="8"/>
    <n v="0.02"/>
    <n v="1678.64"/>
    <x v="1"/>
  </r>
  <r>
    <s v="EMP006"/>
    <s v="Jane"/>
    <s v="Anderson"/>
    <s v="HR01"/>
    <s v="HR01"/>
    <x v="5"/>
    <n v="42304"/>
    <n v="56073"/>
    <n v="79"/>
    <x v="1"/>
    <x v="0"/>
    <x v="0"/>
    <x v="2"/>
    <n v="0.05"/>
    <n v="2803.65"/>
    <x v="0"/>
  </r>
  <r>
    <s v="EMP110"/>
    <s v="William"/>
    <s v="Johnson"/>
    <s v=" IT02 "/>
    <s v="IT02"/>
    <x v="0"/>
    <n v="43270"/>
    <n v="88056"/>
    <n v="66"/>
    <x v="0"/>
    <x v="0"/>
    <x v="0"/>
    <x v="0"/>
    <n v="0.02"/>
    <n v="1761.1200000000001"/>
    <x v="0"/>
  </r>
  <r>
    <s v="EMP147"/>
    <s v="Thomas"/>
    <s v="Miller"/>
    <s v="OPS06"/>
    <s v="OPS06"/>
    <x v="3"/>
    <n v="43112"/>
    <n v="67414"/>
    <n v="84"/>
    <x v="1"/>
    <x v="3"/>
    <x v="1"/>
    <x v="0"/>
    <n v="0.05"/>
    <n v="3370.7000000000003"/>
    <x v="1"/>
  </r>
  <r>
    <s v="EMP050"/>
    <s v="Jessica"/>
    <s v="Gonzalez"/>
    <s v="SAL05"/>
    <s v="SAL05"/>
    <x v="4"/>
    <n v="42008"/>
    <n v="115288"/>
    <n v="61"/>
    <x v="0"/>
    <x v="0"/>
    <x v="0"/>
    <x v="9"/>
    <n v="0.02"/>
    <n v="2305.7600000000002"/>
    <x v="0"/>
  </r>
  <r>
    <s v="EMP036"/>
    <s v="Melissa"/>
    <s v="Smith"/>
    <s v="SAL05"/>
    <s v="SAL05"/>
    <x v="4"/>
    <n v="43439"/>
    <n v="80140"/>
    <n v="58"/>
    <x v="0"/>
    <x v="0"/>
    <x v="0"/>
    <x v="8"/>
    <n v="0.02"/>
    <n v="1602.8"/>
    <x v="0"/>
  </r>
  <r>
    <s v="EMP081"/>
    <s v="Thomas"/>
    <s v="Johnson"/>
    <s v="IT02"/>
    <s v="IT02"/>
    <x v="0"/>
    <n v="44482"/>
    <n v="73087"/>
    <n v="69"/>
    <x v="0"/>
    <x v="0"/>
    <x v="0"/>
    <x v="1"/>
    <n v="0.02"/>
    <n v="1461.74"/>
    <x v="0"/>
  </r>
  <r>
    <s v="EMP078"/>
    <s v="William"/>
    <s v="Johnson"/>
    <s v=" SAL05 "/>
    <s v="SAL05"/>
    <x v="4"/>
    <n v="44081"/>
    <n v="95292"/>
    <n v="34"/>
    <x v="2"/>
    <x v="0"/>
    <x v="0"/>
    <x v="6"/>
    <n v="0"/>
    <n v="0"/>
    <x v="0"/>
  </r>
  <r>
    <s v="EMP035"/>
    <s v="William"/>
    <s v="Jones"/>
    <s v=" IT02 "/>
    <s v="IT02"/>
    <x v="0"/>
    <n v="43532"/>
    <n v="83603.929999999993"/>
    <n v="33"/>
    <x v="2"/>
    <x v="0"/>
    <x v="0"/>
    <x v="8"/>
    <n v="0"/>
    <n v="0"/>
    <x v="0"/>
  </r>
  <r>
    <s v="EMP047"/>
    <s v="John"/>
    <s v="Lopez"/>
    <s v="MKT04"/>
    <s v="MKT04"/>
    <x v="1"/>
    <n v="42074"/>
    <n v="101750"/>
    <n v="84"/>
    <x v="1"/>
    <x v="3"/>
    <x v="1"/>
    <x v="9"/>
    <n v="0.05"/>
    <n v="5087.5"/>
    <x v="1"/>
  </r>
  <r>
    <s v="EMP008"/>
    <s v="Jane"/>
    <s v="Gonzalez"/>
    <s v="MKT04"/>
    <s v="MKT04"/>
    <x v="1"/>
    <n v="42785"/>
    <n v="82992"/>
    <n v="79"/>
    <x v="1"/>
    <x v="0"/>
    <x v="0"/>
    <x v="7"/>
    <n v="0.05"/>
    <n v="4149.6000000000004"/>
    <x v="0"/>
  </r>
  <r>
    <s v="EMP044"/>
    <s v="John"/>
    <s v="Davis"/>
    <s v="IT02"/>
    <s v="IT02"/>
    <x v="0"/>
    <n v="45055"/>
    <n v="49942"/>
    <n v="51"/>
    <x v="0"/>
    <x v="0"/>
    <x v="0"/>
    <x v="3"/>
    <n v="0.02"/>
    <n v="998.84"/>
    <x v="0"/>
  </r>
  <r>
    <s v="EMP071"/>
    <s v="Jane"/>
    <s v="Smith"/>
    <s v=" OPS06 "/>
    <s v="OPS06"/>
    <x v="3"/>
    <n v="43122"/>
    <n v="89060"/>
    <n v="58"/>
    <x v="0"/>
    <x v="0"/>
    <x v="0"/>
    <x v="0"/>
    <n v="0.02"/>
    <n v="1781.2"/>
    <x v="0"/>
  </r>
  <r>
    <s v="EMP115"/>
    <s v="Melissa"/>
    <s v="Gonzalez"/>
    <s v="IT02"/>
    <s v="IT02"/>
    <x v="0"/>
    <n v="43879"/>
    <n v="53786"/>
    <n v="98"/>
    <x v="4"/>
    <x v="0"/>
    <x v="0"/>
    <x v="4"/>
    <n v="0.12"/>
    <n v="6454.32"/>
    <x v="0"/>
  </r>
  <r>
    <s v="EMP092"/>
    <s v="William"/>
    <s v="Johnson"/>
    <s v="OPS06"/>
    <s v="OPS06"/>
    <x v="3"/>
    <n v="42512"/>
    <n v="81167"/>
    <n v="68"/>
    <x v="0"/>
    <x v="0"/>
    <x v="0"/>
    <x v="2"/>
    <n v="0.02"/>
    <n v="1623.3400000000001"/>
    <x v="0"/>
  </r>
  <r>
    <s v="EMP084"/>
    <s v="John"/>
    <s v="Williams"/>
    <s v="MKT04"/>
    <s v="MKT04"/>
    <x v="1"/>
    <n v="44349"/>
    <n v="66688"/>
    <n v="40"/>
    <x v="2"/>
    <x v="3"/>
    <x v="1"/>
    <x v="6"/>
    <n v="0"/>
    <n v="0"/>
    <x v="1"/>
  </r>
  <r>
    <s v="EMP142"/>
    <s v="James"/>
    <s v="Jones"/>
    <s v="IT02"/>
    <s v="IT02"/>
    <x v="0"/>
    <n v="44394"/>
    <n v="91672"/>
    <n v="88"/>
    <x v="3"/>
    <x v="1"/>
    <x v="0"/>
    <x v="1"/>
    <n v="0.08"/>
    <n v="7333.76"/>
    <x v="0"/>
  </r>
  <r>
    <s v="EMP143"/>
    <s v="Emily"/>
    <s v="Gonzalez"/>
    <s v=" HR01 "/>
    <s v="HR01"/>
    <x v="5"/>
    <n v="42687"/>
    <n v="77737"/>
    <n v="77"/>
    <x v="1"/>
    <x v="0"/>
    <x v="0"/>
    <x v="7"/>
    <n v="0.05"/>
    <n v="3886.8500000000004"/>
    <x v="0"/>
  </r>
  <r>
    <s v="EMP090"/>
    <s v="William"/>
    <s v="Miller"/>
    <s v=" SAL05 "/>
    <s v="SAL05"/>
    <x v="4"/>
    <n v="43513"/>
    <n v="95686"/>
    <n v="91"/>
    <x v="3"/>
    <x v="0"/>
    <x v="0"/>
    <x v="8"/>
    <n v="0.08"/>
    <n v="7654.88"/>
    <x v="0"/>
  </r>
  <r>
    <s v="EMP009"/>
    <s v="James"/>
    <s v="Smith"/>
    <s v="SAL05"/>
    <s v="SAL05"/>
    <x v="4"/>
    <n v="42625"/>
    <n v="114681"/>
    <n v="36"/>
    <x v="2"/>
    <x v="1"/>
    <x v="0"/>
    <x v="7"/>
    <n v="0"/>
    <n v="0"/>
    <x v="0"/>
  </r>
  <r>
    <s v="EMP014"/>
    <s v="Jessica"/>
    <s v="Jones"/>
    <s v=" OPS06 "/>
    <s v="OPS06"/>
    <x v="3"/>
    <n v="44421"/>
    <n v="109121"/>
    <n v="72"/>
    <x v="1"/>
    <x v="0"/>
    <x v="0"/>
    <x v="1"/>
    <n v="0.05"/>
    <n v="5456.05"/>
    <x v="0"/>
  </r>
  <r>
    <s v="EMP060"/>
    <s v="Sarah"/>
    <s v="Brown"/>
    <s v="MKT04"/>
    <s v="MKT04"/>
    <x v="1"/>
    <n v="43996"/>
    <n v="112791"/>
    <n v="87"/>
    <x v="3"/>
    <x v="0"/>
    <x v="0"/>
    <x v="4"/>
    <n v="0.08"/>
    <n v="9023.2800000000007"/>
    <x v="0"/>
  </r>
  <r>
    <s v="EMP135"/>
    <s v="Jessica"/>
    <s v="Martinez"/>
    <s v=" IT02 "/>
    <s v="IT02"/>
    <x v="0"/>
    <n v="44747"/>
    <n v="118008"/>
    <n v="71"/>
    <x v="1"/>
    <x v="0"/>
    <x v="0"/>
    <x v="1"/>
    <n v="0.05"/>
    <n v="5900.4000000000005"/>
    <x v="0"/>
  </r>
  <r>
    <s v="EMP004"/>
    <s v="Thomas"/>
    <s v="Miller"/>
    <s v="IT02"/>
    <s v="IT02"/>
    <x v="0"/>
    <n v="42561"/>
    <n v="74370"/>
    <n v="82"/>
    <x v="1"/>
    <x v="0"/>
    <x v="0"/>
    <x v="7"/>
    <n v="0.05"/>
    <n v="3718.5"/>
    <x v="0"/>
  </r>
  <r>
    <s v="EMP018"/>
    <s v="Amanda"/>
    <s v="Rodriguez"/>
    <s v=" IT02 "/>
    <s v="IT02"/>
    <x v="0"/>
    <n v="44674"/>
    <n v="77819"/>
    <n v="79"/>
    <x v="1"/>
    <x v="1"/>
    <x v="0"/>
    <x v="1"/>
    <n v="0.05"/>
    <n v="3890.9500000000003"/>
    <x v="0"/>
  </r>
  <r>
    <s v="EMP039"/>
    <s v="Robert"/>
    <s v="Miller"/>
    <s v=" MKT04 "/>
    <s v="MKT04"/>
    <x v="1"/>
    <n v="42865"/>
    <n v="48748"/>
    <n v="83"/>
    <x v="1"/>
    <x v="0"/>
    <x v="0"/>
    <x v="7"/>
    <n v="0.05"/>
    <n v="2437.4"/>
    <x v="0"/>
  </r>
  <r>
    <s v="EMP073"/>
    <s v="Thomas"/>
    <s v="Rodriguez"/>
    <s v="OPS06"/>
    <s v="OPS06"/>
    <x v="3"/>
    <n v="43971"/>
    <n v="101997"/>
    <n v="38"/>
    <x v="2"/>
    <x v="4"/>
    <x v="2"/>
    <x v="4"/>
    <n v="0"/>
    <n v="0"/>
    <x v="1"/>
  </r>
  <r>
    <s v="EMP138"/>
    <s v="David"/>
    <s v="Rodriguez"/>
    <s v="HR01"/>
    <s v="HR01"/>
    <x v="5"/>
    <n v="45036"/>
    <n v="115260"/>
    <n v="77"/>
    <x v="1"/>
    <x v="0"/>
    <x v="0"/>
    <x v="3"/>
    <n v="0.05"/>
    <n v="5763"/>
    <x v="0"/>
  </r>
  <r>
    <s v="EMP007"/>
    <s v="Jane"/>
    <s v="Wilson"/>
    <s v="SAL05"/>
    <s v="SAL05"/>
    <x v="4"/>
    <n v="44500"/>
    <n v="83603.929999999993"/>
    <n v="49"/>
    <x v="2"/>
    <x v="0"/>
    <x v="0"/>
    <x v="1"/>
    <n v="0"/>
    <n v="0"/>
    <x v="0"/>
  </r>
  <r>
    <s v="EMP144"/>
    <s v="James"/>
    <s v="Brown"/>
    <s v=" IT02 "/>
    <s v="IT02"/>
    <x v="0"/>
    <n v="44493"/>
    <n v="83603.929999999993"/>
    <n v="69"/>
    <x v="0"/>
    <x v="3"/>
    <x v="1"/>
    <x v="1"/>
    <n v="0.02"/>
    <n v="1672.0785999999998"/>
    <x v="1"/>
  </r>
  <r>
    <s v="EMP101"/>
    <s v="Sarah"/>
    <s v="Williams"/>
    <s v="SAL05"/>
    <s v="SAL05"/>
    <x v="4"/>
    <n v="42956"/>
    <n v="83603.929999999993"/>
    <n v="76"/>
    <x v="1"/>
    <x v="0"/>
    <x v="0"/>
    <x v="0"/>
    <n v="0.05"/>
    <n v="4180.1965"/>
    <x v="0"/>
  </r>
  <r>
    <s v="EMP003"/>
    <s v="Sarah"/>
    <s v="Rodriguez"/>
    <s v="OPS06"/>
    <s v="OPS06"/>
    <x v="3"/>
    <n v="44930"/>
    <n v="60623"/>
    <n v="78"/>
    <x v="1"/>
    <x v="0"/>
    <x v="0"/>
    <x v="3"/>
    <n v="0.05"/>
    <n v="3031.15"/>
    <x v="0"/>
  </r>
  <r>
    <s v="EMP121"/>
    <s v="Melissa"/>
    <s v="Johnson"/>
    <s v=" HR01 "/>
    <s v="HR01"/>
    <x v="5"/>
    <n v="44053"/>
    <n v="68092"/>
    <n v="93"/>
    <x v="3"/>
    <x v="0"/>
    <x v="0"/>
    <x v="6"/>
    <n v="0.08"/>
    <n v="5447.36"/>
    <x v="0"/>
  </r>
  <r>
    <s v="EMP064"/>
    <s v="Robert"/>
    <s v="Wilson"/>
    <s v="MKT04"/>
    <s v="MKT04"/>
    <x v="1"/>
    <n v="44653"/>
    <n v="88155"/>
    <n v="68"/>
    <x v="0"/>
    <x v="0"/>
    <x v="0"/>
    <x v="1"/>
    <n v="0.02"/>
    <n v="1763.1000000000001"/>
    <x v="0"/>
  </r>
  <r>
    <s v="EMP116"/>
    <s v="Melissa"/>
    <s v="Jones"/>
    <s v="MKT04"/>
    <s v="MKT04"/>
    <x v="1"/>
    <n v="43183"/>
    <n v="107903"/>
    <n v="42"/>
    <x v="2"/>
    <x v="1"/>
    <x v="0"/>
    <x v="0"/>
    <n v="0"/>
    <n v="0"/>
    <x v="0"/>
  </r>
  <r>
    <s v="EMP055"/>
    <s v="James"/>
    <s v="Williams"/>
    <s v="IT02"/>
    <s v="IT02"/>
    <x v="0"/>
    <n v="43305"/>
    <n v="62818"/>
    <n v="34"/>
    <x v="2"/>
    <x v="1"/>
    <x v="0"/>
    <x v="8"/>
    <n v="0"/>
    <n v="0"/>
    <x v="0"/>
  </r>
  <r>
    <s v="EMP108"/>
    <s v="Michael"/>
    <s v="Williams"/>
    <s v=" HR01 "/>
    <s v="HR01"/>
    <x v="5"/>
    <n v="43301"/>
    <n v="85151"/>
    <n v="35"/>
    <x v="2"/>
    <x v="1"/>
    <x v="0"/>
    <x v="8"/>
    <n v="0"/>
    <n v="0"/>
    <x v="0"/>
  </r>
  <r>
    <s v="EMP051"/>
    <s v="William"/>
    <s v="Davis"/>
    <s v=" FIN03 "/>
    <s v="FIN03"/>
    <x v="2"/>
    <n v="42433"/>
    <n v="46390"/>
    <n v="95"/>
    <x v="4"/>
    <x v="0"/>
    <x v="0"/>
    <x v="2"/>
    <n v="0.12"/>
    <n v="5566.8"/>
    <x v="0"/>
  </r>
  <r>
    <s v="EMP059"/>
    <s v="William"/>
    <s v="Martinez"/>
    <s v=" HR01 "/>
    <s v="HR01"/>
    <x v="5"/>
    <n v="44643"/>
    <n v="111920"/>
    <n v="90"/>
    <x v="3"/>
    <x v="2"/>
    <x v="1"/>
    <x v="1"/>
    <n v="0.08"/>
    <n v="8953.6"/>
    <x v="1"/>
  </r>
  <r>
    <s v="EMP049"/>
    <s v="David"/>
    <s v="Anderson"/>
    <s v="HR01"/>
    <s v="HR01"/>
    <x v="5"/>
    <n v="42944"/>
    <n v="115618"/>
    <n v="42"/>
    <x v="2"/>
    <x v="1"/>
    <x v="0"/>
    <x v="0"/>
    <n v="0"/>
    <n v="0"/>
    <x v="0"/>
  </r>
  <r>
    <s v="EMP089"/>
    <s v="Jane"/>
    <s v="Smith"/>
    <s v="SAL05"/>
    <s v="SAL05"/>
    <x v="4"/>
    <n v="45057"/>
    <n v="110618"/>
    <n v="88"/>
    <x v="3"/>
    <x v="4"/>
    <x v="2"/>
    <x v="3"/>
    <n v="0.08"/>
    <n v="8849.44"/>
    <x v="1"/>
  </r>
  <r>
    <s v="EMP022"/>
    <s v="Jessica"/>
    <s v="Hernandez"/>
    <s v=" OPS06 "/>
    <s v="OPS06"/>
    <x v="3"/>
    <n v="44639"/>
    <n v="108395"/>
    <n v="78"/>
    <x v="1"/>
    <x v="3"/>
    <x v="1"/>
    <x v="1"/>
    <n v="0.05"/>
    <n v="5419.75"/>
    <x v="1"/>
  </r>
  <r>
    <s v="EMP058"/>
    <s v="John"/>
    <s v="Johnson"/>
    <s v="FIN03"/>
    <s v="FIN03"/>
    <x v="2"/>
    <n v="43091"/>
    <n v="88005"/>
    <n v="69"/>
    <x v="0"/>
    <x v="0"/>
    <x v="0"/>
    <x v="0"/>
    <n v="0.02"/>
    <n v="1760.1000000000001"/>
    <x v="0"/>
  </r>
  <r>
    <s v="EMP130"/>
    <s v="David"/>
    <s v="Garcia"/>
    <s v=" MKT04 "/>
    <s v="MKT04"/>
    <x v="1"/>
    <n v="44437"/>
    <n v="83007"/>
    <n v="82"/>
    <x v="1"/>
    <x v="0"/>
    <x v="0"/>
    <x v="1"/>
    <n v="0.05"/>
    <n v="4150.3500000000004"/>
    <x v="0"/>
  </r>
  <r>
    <s v="EMP038"/>
    <s v="Sarah"/>
    <s v="Davis"/>
    <s v="IT02"/>
    <s v="IT02"/>
    <x v="0"/>
    <n v="43360"/>
    <n v="61547"/>
    <n v="68"/>
    <x v="0"/>
    <x v="1"/>
    <x v="0"/>
    <x v="8"/>
    <n v="0.02"/>
    <n v="1230.94"/>
    <x v="0"/>
  </r>
  <r>
    <s v="EMP148"/>
    <s v="Melissa"/>
    <s v="Wilson"/>
    <s v="SAL05"/>
    <s v="SAL05"/>
    <x v="4"/>
    <n v="44375"/>
    <n v="83603.929999999993"/>
    <n v="52"/>
    <x v="0"/>
    <x v="0"/>
    <x v="0"/>
    <x v="6"/>
    <n v="0.02"/>
    <n v="1672.0785999999998"/>
    <x v="0"/>
  </r>
  <r>
    <s v="EMP002"/>
    <s v="Melissa"/>
    <s v="Johnson"/>
    <s v="OPS06"/>
    <s v="OPS06"/>
    <x v="3"/>
    <n v="43011"/>
    <n v="50399"/>
    <n v="92"/>
    <x v="3"/>
    <x v="3"/>
    <x v="1"/>
    <x v="0"/>
    <n v="0.08"/>
    <n v="4031.92"/>
    <x v="1"/>
  </r>
  <r>
    <s v="EMP053"/>
    <s v="Michael"/>
    <s v="Williams"/>
    <s v="FIN03"/>
    <s v="FIN03"/>
    <x v="2"/>
    <n v="42299"/>
    <n v="83603.929999999993"/>
    <n v="62"/>
    <x v="0"/>
    <x v="1"/>
    <x v="0"/>
    <x v="2"/>
    <n v="0.02"/>
    <n v="1672.0785999999998"/>
    <x v="0"/>
  </r>
  <r>
    <s v="EMP131"/>
    <s v="Jane"/>
    <s v="Hernandez"/>
    <s v="OPS06"/>
    <s v="OPS06"/>
    <x v="3"/>
    <n v="43257"/>
    <n v="52720"/>
    <n v="68"/>
    <x v="0"/>
    <x v="1"/>
    <x v="0"/>
    <x v="0"/>
    <n v="0.02"/>
    <n v="1054.4000000000001"/>
    <x v="0"/>
  </r>
  <r>
    <s v="EMP104"/>
    <s v="David"/>
    <s v="Gonzalez"/>
    <s v="OPS06"/>
    <s v="OPS06"/>
    <x v="3"/>
    <n v="42932"/>
    <n v="65065"/>
    <n v="98"/>
    <x v="4"/>
    <x v="0"/>
    <x v="0"/>
    <x v="0"/>
    <n v="0.12"/>
    <n v="7807.7999999999993"/>
    <x v="0"/>
  </r>
  <r>
    <s v="EMP100"/>
    <s v="James"/>
    <s v="Hernandez"/>
    <s v="SAL05"/>
    <s v="SAL05"/>
    <x v="4"/>
    <n v="42175"/>
    <n v="83603.929999999993"/>
    <n v="94"/>
    <x v="3"/>
    <x v="4"/>
    <x v="2"/>
    <x v="9"/>
    <n v="0.08"/>
    <n v="6688.3143999999993"/>
    <x v="1"/>
  </r>
  <r>
    <s v="EMP117"/>
    <s v="Richard"/>
    <s v="Hernandez"/>
    <s v=" OPS06 "/>
    <s v="OPS06"/>
    <x v="3"/>
    <n v="43609"/>
    <n v="108119"/>
    <n v="57"/>
    <x v="0"/>
    <x v="4"/>
    <x v="2"/>
    <x v="8"/>
    <n v="0.02"/>
    <n v="2162.38"/>
    <x v="1"/>
  </r>
  <r>
    <s v="EMP088"/>
    <s v="Richard"/>
    <s v="Davis"/>
    <s v="IT02"/>
    <s v="IT02"/>
    <x v="0"/>
    <n v="43887"/>
    <n v="83603.929999999993"/>
    <n v="96"/>
    <x v="4"/>
    <x v="0"/>
    <x v="0"/>
    <x v="4"/>
    <n v="0.12"/>
    <n v="10032.471599999999"/>
    <x v="0"/>
  </r>
  <r>
    <s v="EMP075"/>
    <s v="John"/>
    <s v="Davis"/>
    <s v="HR01"/>
    <s v="HR01"/>
    <x v="5"/>
    <n v="44991"/>
    <n v="106896"/>
    <n v="52"/>
    <x v="0"/>
    <x v="2"/>
    <x v="1"/>
    <x v="3"/>
    <n v="0.02"/>
    <n v="2137.92"/>
    <x v="1"/>
  </r>
  <r>
    <s v="EMP122"/>
    <s v="Sarah"/>
    <s v="Jones"/>
    <s v=" IT02 "/>
    <s v="IT02"/>
    <x v="0"/>
    <n v="43477"/>
    <n v="112887"/>
    <n v="59"/>
    <x v="0"/>
    <x v="0"/>
    <x v="0"/>
    <x v="8"/>
    <n v="0.02"/>
    <n v="2257.7400000000002"/>
    <x v="0"/>
  </r>
  <r>
    <s v="EMP021"/>
    <s v="Melissa"/>
    <s v="Rodriguez"/>
    <s v="FIN03"/>
    <s v="FIN03"/>
    <x v="2"/>
    <n v="45037"/>
    <n v="85457"/>
    <n v="79"/>
    <x v="1"/>
    <x v="1"/>
    <x v="0"/>
    <x v="3"/>
    <n v="0.05"/>
    <n v="4272.8500000000004"/>
    <x v="0"/>
  </r>
  <r>
    <s v="EMP072"/>
    <s v="Melissa"/>
    <s v="Miller"/>
    <s v="SAL05"/>
    <s v="SAL05"/>
    <x v="4"/>
    <n v="42519"/>
    <n v="62798"/>
    <n v="30"/>
    <x v="2"/>
    <x v="1"/>
    <x v="0"/>
    <x v="2"/>
    <n v="0"/>
    <n v="0"/>
    <x v="0"/>
  </r>
  <r>
    <s v="EMP107"/>
    <s v="John"/>
    <s v="Martinez"/>
    <s v="OPS06"/>
    <s v="OPS06"/>
    <x v="3"/>
    <n v="44711"/>
    <n v="47794"/>
    <n v="73"/>
    <x v="1"/>
    <x v="2"/>
    <x v="1"/>
    <x v="1"/>
    <n v="0.05"/>
    <n v="2389.7000000000003"/>
    <x v="1"/>
  </r>
  <r>
    <s v="EMP093"/>
    <s v="Richard"/>
    <s v="Rodriguez"/>
    <s v="MKT04"/>
    <s v="MKT04"/>
    <x v="1"/>
    <n v="42677"/>
    <n v="93094"/>
    <n v="74"/>
    <x v="1"/>
    <x v="0"/>
    <x v="0"/>
    <x v="7"/>
    <n v="0.05"/>
    <n v="4654.7"/>
    <x v="0"/>
  </r>
  <r>
    <s v="EMP103"/>
    <s v="Richard"/>
    <s v="Brown"/>
    <s v="IT02"/>
    <s v="IT02"/>
    <x v="0"/>
    <n v="44848"/>
    <n v="118634"/>
    <n v="91"/>
    <x v="3"/>
    <x v="1"/>
    <x v="0"/>
    <x v="3"/>
    <n v="0.08"/>
    <n v="9490.71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CC72DC-D1D1-4798-8EB0-B5A60A8B39D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Row Labels">
  <location ref="A3:C10" firstHeaderRow="0" firstDataRow="1" firstDataCol="1"/>
  <pivotFields count="16">
    <pivotField dataField="1" showAll="0"/>
    <pivotField showAll="0"/>
    <pivotField showAll="0"/>
    <pivotField showAll="0"/>
    <pivotField showAll="0"/>
    <pivotField axis="axisRow" showAll="0" sortType="ascending">
      <items count="7">
        <item x="2"/>
        <item x="5"/>
        <item x="0"/>
        <item x="1"/>
        <item x="3"/>
        <item x="4"/>
        <item t="default"/>
      </items>
    </pivotField>
    <pivotField numFmtId="2" showAll="0"/>
    <pivotField dataField="1" numFmtId="166" showAll="0"/>
    <pivotField showAll="0"/>
    <pivotField showAll="0">
      <items count="6">
        <item x="1"/>
        <item x="0"/>
        <item x="3"/>
        <item x="2"/>
        <item x="4"/>
        <item t="default"/>
      </items>
    </pivotField>
    <pivotField showAll="0"/>
    <pivotField showAll="0">
      <items count="4">
        <item x="0"/>
        <item x="1"/>
        <item x="2"/>
        <item t="default"/>
      </items>
    </pivotField>
    <pivotField showAll="0">
      <items count="11">
        <item x="5"/>
        <item x="3"/>
        <item x="1"/>
        <item x="6"/>
        <item x="4"/>
        <item x="8"/>
        <item x="0"/>
        <item x="7"/>
        <item x="2"/>
        <item x="9"/>
        <item t="default"/>
      </items>
    </pivotField>
    <pivotField numFmtId="9" showAll="0"/>
    <pivotField numFmtId="165" showAll="0"/>
    <pivotField showAll="0"/>
  </pivotFields>
  <rowFields count="1">
    <field x="5"/>
  </rowFields>
  <rowItems count="7">
    <i>
      <x/>
    </i>
    <i>
      <x v="1"/>
    </i>
    <i>
      <x v="2"/>
    </i>
    <i>
      <x v="3"/>
    </i>
    <i>
      <x v="4"/>
    </i>
    <i>
      <x v="5"/>
    </i>
    <i t="grand">
      <x/>
    </i>
  </rowItems>
  <colFields count="1">
    <field x="-2"/>
  </colFields>
  <colItems count="2">
    <i>
      <x/>
    </i>
    <i i="1">
      <x v="1"/>
    </i>
  </colItems>
  <dataFields count="2">
    <dataField name="Count of Emp ID" fld="0" subtotal="count" baseField="0" baseItem="0"/>
    <dataField name="Sum of Salary" fld="7" baseField="0" baseItem="0" numFmtId="166"/>
  </dataFields>
  <formats count="1">
    <format dxfId="0">
      <pivotArea field="5" grandRow="1" outline="0" collapsedLevelsAreSubtotals="1" axis="axisRow" fieldPosition="0">
        <references count="1">
          <reference field="4294967294" count="1" selected="0">
            <x v="1"/>
          </reference>
        </references>
      </pivotArea>
    </format>
  </formats>
  <chartFormats count="4">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9" format="14" series="1">
      <pivotArea type="data" outline="0" fieldPosition="0">
        <references count="1">
          <reference field="4294967294" count="1" selected="0">
            <x v="0"/>
          </reference>
        </references>
      </pivotArea>
    </chartFormat>
    <chartFormat chart="39"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8649B4-0B88-452B-AC82-F7E60DEAE418}"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9" rowHeaderCaption="Row Labels">
  <location ref="A14:D22" firstHeaderRow="1" firstDataRow="2" firstDataCol="1"/>
  <pivotFields count="16">
    <pivotField dataField="1" showAll="0"/>
    <pivotField showAll="0"/>
    <pivotField showAll="0"/>
    <pivotField showAll="0"/>
    <pivotField showAll="0"/>
    <pivotField axis="axisRow" showAll="0">
      <items count="7">
        <item x="2"/>
        <item x="5"/>
        <item x="0"/>
        <item x="1"/>
        <item x="3"/>
        <item x="4"/>
        <item t="default"/>
      </items>
    </pivotField>
    <pivotField numFmtId="2" showAll="0"/>
    <pivotField numFmtId="166" showAll="0"/>
    <pivotField showAll="0"/>
    <pivotField showAll="0">
      <items count="6">
        <item x="1"/>
        <item x="0"/>
        <item x="3"/>
        <item x="2"/>
        <item x="4"/>
        <item t="default"/>
      </items>
    </pivotField>
    <pivotField showAll="0"/>
    <pivotField showAll="0">
      <items count="4">
        <item x="0"/>
        <item x="1"/>
        <item x="2"/>
        <item t="default"/>
      </items>
    </pivotField>
    <pivotField showAll="0">
      <items count="11">
        <item x="5"/>
        <item x="3"/>
        <item x="1"/>
        <item x="6"/>
        <item x="4"/>
        <item x="8"/>
        <item x="0"/>
        <item x="7"/>
        <item x="2"/>
        <item x="9"/>
        <item t="default"/>
      </items>
    </pivotField>
    <pivotField numFmtId="9" showAll="0"/>
    <pivotField numFmtId="165" showAll="0"/>
    <pivotField axis="axisCol" showAll="0">
      <items count="3">
        <item x="0"/>
        <item x="1"/>
        <item t="default"/>
      </items>
    </pivotField>
  </pivotFields>
  <rowFields count="1">
    <field x="5"/>
  </rowFields>
  <rowItems count="7">
    <i>
      <x/>
    </i>
    <i>
      <x v="1"/>
    </i>
    <i>
      <x v="2"/>
    </i>
    <i>
      <x v="3"/>
    </i>
    <i>
      <x v="4"/>
    </i>
    <i>
      <x v="5"/>
    </i>
    <i t="grand">
      <x/>
    </i>
  </rowItems>
  <colFields count="1">
    <field x="15"/>
  </colFields>
  <colItems count="3">
    <i>
      <x/>
    </i>
    <i>
      <x v="1"/>
    </i>
    <i t="grand">
      <x/>
    </i>
  </colItems>
  <dataFields count="1">
    <dataField name="Count of Emp ID" fld="0" subtotal="count" showDataAs="percentOfRow" baseField="0" baseItem="0" numFmtId="10"/>
  </dataFields>
  <formats count="4">
    <format dxfId="4">
      <pivotArea grandRow="1" grandCol="1" outline="0" collapsedLevelsAreSubtotals="1" fieldPosition="0"/>
    </format>
    <format dxfId="3">
      <pivotArea outline="0" fieldPosition="0">
        <references count="1">
          <reference field="4294967294" count="1">
            <x v="0"/>
          </reference>
        </references>
      </pivotArea>
    </format>
    <format dxfId="2">
      <pivotArea outline="0" collapsedLevelsAreSubtotals="1" fieldPosition="0">
        <references count="1">
          <reference field="15" count="1" selected="0">
            <x v="0"/>
          </reference>
        </references>
      </pivotArea>
    </format>
    <format dxfId="1">
      <pivotArea outline="0" collapsedLevelsAreSubtotals="1" fieldPosition="0">
        <references count="1">
          <reference field="15" count="1" selected="0">
            <x v="1"/>
          </reference>
        </references>
      </pivotArea>
    </format>
  </formats>
  <chartFormats count="7">
    <chartFormat chart="10" format="10" series="1">
      <pivotArea type="data" outline="0" fieldPosition="0"/>
    </chartFormat>
    <chartFormat chart="10" format="13" series="1">
      <pivotArea type="data" outline="0" fieldPosition="0">
        <references count="1">
          <reference field="4294967294" count="1" selected="0">
            <x v="0"/>
          </reference>
        </references>
      </pivotArea>
    </chartFormat>
    <chartFormat chart="20" format="6" series="1">
      <pivotArea type="data" outline="0" fieldPosition="0">
        <references count="2">
          <reference field="4294967294" count="1" selected="0">
            <x v="0"/>
          </reference>
          <reference field="15" count="1" selected="0">
            <x v="0"/>
          </reference>
        </references>
      </pivotArea>
    </chartFormat>
    <chartFormat chart="20" format="7" series="1">
      <pivotArea type="data" outline="0" fieldPosition="0">
        <references count="2">
          <reference field="4294967294" count="1" selected="0">
            <x v="0"/>
          </reference>
          <reference field="15" count="1" selected="0">
            <x v="1"/>
          </reference>
        </references>
      </pivotArea>
    </chartFormat>
    <chartFormat chart="20" format="8" series="1">
      <pivotArea type="data" outline="0" fieldPosition="0">
        <references count="1">
          <reference field="4294967294" count="1" selected="0">
            <x v="0"/>
          </reference>
        </references>
      </pivotArea>
    </chartFormat>
    <chartFormat chart="10" format="14" series="1">
      <pivotArea type="data" outline="0" fieldPosition="0">
        <references count="2">
          <reference field="4294967294" count="1" selected="0">
            <x v="0"/>
          </reference>
          <reference field="15" count="1" selected="0">
            <x v="1"/>
          </reference>
        </references>
      </pivotArea>
    </chartFormat>
    <chartFormat chart="10" format="15" series="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E4C812-FF7B-4B4B-AB5E-597B810885D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Row Labels">
  <location ref="A38:B44" firstHeaderRow="1" firstDataRow="1" firstDataCol="1"/>
  <pivotFields count="16">
    <pivotField showAll="0"/>
    <pivotField showAll="0"/>
    <pivotField showAll="0"/>
    <pivotField showAll="0"/>
    <pivotField showAll="0"/>
    <pivotField showAll="0">
      <items count="7">
        <item x="2"/>
        <item x="5"/>
        <item x="0"/>
        <item x="1"/>
        <item x="3"/>
        <item x="4"/>
        <item t="default"/>
      </items>
    </pivotField>
    <pivotField numFmtId="2" showAll="0"/>
    <pivotField numFmtId="166" showAll="0"/>
    <pivotField showAll="0"/>
    <pivotField axis="axisRow" showAll="0" sortType="ascending">
      <items count="6">
        <item x="1"/>
        <item x="0"/>
        <item x="3"/>
        <item x="2"/>
        <item x="4"/>
        <item t="default"/>
      </items>
    </pivotField>
    <pivotField showAll="0"/>
    <pivotField showAll="0">
      <items count="4">
        <item x="0"/>
        <item x="1"/>
        <item x="2"/>
        <item t="default"/>
      </items>
    </pivotField>
    <pivotField showAll="0">
      <items count="11">
        <item x="5"/>
        <item x="3"/>
        <item x="1"/>
        <item x="6"/>
        <item x="4"/>
        <item x="8"/>
        <item x="0"/>
        <item x="7"/>
        <item x="2"/>
        <item x="9"/>
        <item t="default"/>
      </items>
    </pivotField>
    <pivotField numFmtId="9" showAll="0"/>
    <pivotField dataField="1" numFmtId="165" showAll="0"/>
    <pivotField showAll="0"/>
  </pivotFields>
  <rowFields count="1">
    <field x="9"/>
  </rowFields>
  <rowItems count="6">
    <i>
      <x/>
    </i>
    <i>
      <x v="1"/>
    </i>
    <i>
      <x v="2"/>
    </i>
    <i>
      <x v="3"/>
    </i>
    <i>
      <x v="4"/>
    </i>
    <i t="grand">
      <x/>
    </i>
  </rowItems>
  <colItems count="1">
    <i/>
  </colItems>
  <dataFields count="1">
    <dataField name="Sum of Eligible Bonus Amount" fld="14" baseField="0" baseItem="0" numFmtId="165"/>
  </dataFields>
  <formats count="1">
    <format dxfId="5">
      <pivotArea grandRow="1" outline="0" collapsedLevelsAreSubtotals="1" fieldPosition="0"/>
    </format>
  </formats>
  <chartFormats count="2">
    <chartFormat chart="15" format="2"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5E4019-FBD1-4EF0-AB51-C91CE214A7B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Row Labels">
  <location ref="A27:B33" firstHeaderRow="1" firstDataRow="1" firstDataCol="1"/>
  <pivotFields count="16">
    <pivotField showAll="0"/>
    <pivotField showAll="0"/>
    <pivotField showAll="0"/>
    <pivotField showAll="0"/>
    <pivotField showAll="0"/>
    <pivotField showAll="0">
      <items count="7">
        <item x="2"/>
        <item x="5"/>
        <item x="0"/>
        <item x="1"/>
        <item x="3"/>
        <item x="4"/>
        <item t="default"/>
      </items>
    </pivotField>
    <pivotField numFmtId="2" showAll="0"/>
    <pivotField numFmtId="166" showAll="0"/>
    <pivotField dataField="1" showAll="0"/>
    <pivotField showAll="0">
      <items count="6">
        <item x="1"/>
        <item x="0"/>
        <item x="3"/>
        <item x="2"/>
        <item x="4"/>
        <item t="default"/>
      </items>
    </pivotField>
    <pivotField axis="axisRow" showAll="0">
      <items count="6">
        <item x="1"/>
        <item x="2"/>
        <item x="0"/>
        <item x="3"/>
        <item x="4"/>
        <item t="default"/>
      </items>
    </pivotField>
    <pivotField showAll="0">
      <items count="4">
        <item x="0"/>
        <item x="1"/>
        <item x="2"/>
        <item t="default"/>
      </items>
    </pivotField>
    <pivotField showAll="0">
      <items count="11">
        <item x="5"/>
        <item x="3"/>
        <item x="1"/>
        <item x="6"/>
        <item x="4"/>
        <item x="8"/>
        <item x="0"/>
        <item x="7"/>
        <item x="2"/>
        <item x="9"/>
        <item t="default"/>
      </items>
    </pivotField>
    <pivotField numFmtId="9" showAll="0"/>
    <pivotField numFmtId="165" showAll="0"/>
    <pivotField showAll="0"/>
  </pivotFields>
  <rowFields count="1">
    <field x="10"/>
  </rowFields>
  <rowItems count="6">
    <i>
      <x/>
    </i>
    <i>
      <x v="1"/>
    </i>
    <i>
      <x v="2"/>
    </i>
    <i>
      <x v="3"/>
    </i>
    <i>
      <x v="4"/>
    </i>
    <i t="grand">
      <x/>
    </i>
  </rowItems>
  <colItems count="1">
    <i/>
  </colItems>
  <dataFields count="1">
    <dataField name="Average of Perf_Score" fld="8" subtotal="average" baseField="10" baseItem="0"/>
  </dataFields>
  <formats count="2">
    <format dxfId="7">
      <pivotArea grandRow="1" grandCol="1" outline="0" collapsedLevelsAreSubtotals="1" fieldPosition="0"/>
    </format>
    <format dxfId="6">
      <pivotArea grandRow="1" outline="0" collapsedLevelsAreSubtotals="1" fieldPosition="0"/>
    </format>
  </formats>
  <chartFormats count="12">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0" count="1" selected="0">
            <x v="0"/>
          </reference>
        </references>
      </pivotArea>
    </chartFormat>
    <chartFormat chart="10" format="7">
      <pivotArea type="data" outline="0" fieldPosition="0">
        <references count="2">
          <reference field="4294967294" count="1" selected="0">
            <x v="0"/>
          </reference>
          <reference field="10" count="1" selected="0">
            <x v="1"/>
          </reference>
        </references>
      </pivotArea>
    </chartFormat>
    <chartFormat chart="10" format="8">
      <pivotArea type="data" outline="0" fieldPosition="0">
        <references count="2">
          <reference field="4294967294" count="1" selected="0">
            <x v="0"/>
          </reference>
          <reference field="10" count="1" selected="0">
            <x v="4"/>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10" count="1" selected="0">
            <x v="0"/>
          </reference>
        </references>
      </pivotArea>
    </chartFormat>
    <chartFormat chart="18" format="23">
      <pivotArea type="data" outline="0" fieldPosition="0">
        <references count="2">
          <reference field="4294967294" count="1" selected="0">
            <x v="0"/>
          </reference>
          <reference field="10" count="1" selected="0">
            <x v="1"/>
          </reference>
        </references>
      </pivotArea>
    </chartFormat>
    <chartFormat chart="18" format="24">
      <pivotArea type="data" outline="0" fieldPosition="0">
        <references count="2">
          <reference field="4294967294" count="1" selected="0">
            <x v="0"/>
          </reference>
          <reference field="10" count="1" selected="0">
            <x v="4"/>
          </reference>
        </references>
      </pivotArea>
    </chartFormat>
    <chartFormat chart="18" format="25">
      <pivotArea type="data" outline="0" fieldPosition="0">
        <references count="2">
          <reference field="4294967294" count="1" selected="0">
            <x v="0"/>
          </reference>
          <reference field="10" count="1" selected="0">
            <x v="2"/>
          </reference>
        </references>
      </pivotArea>
    </chartFormat>
    <chartFormat chart="18" format="26">
      <pivotArea type="data" outline="0" fieldPosition="0">
        <references count="2">
          <reference field="4294967294" count="1" selected="0">
            <x v="0"/>
          </reference>
          <reference field="10" count="1" selected="0">
            <x v="3"/>
          </reference>
        </references>
      </pivotArea>
    </chartFormat>
    <chartFormat chart="10" format="9">
      <pivotArea type="data" outline="0" fieldPosition="0">
        <references count="2">
          <reference field="4294967294" count="1" selected="0">
            <x v="0"/>
          </reference>
          <reference field="10" count="1" selected="0">
            <x v="2"/>
          </reference>
        </references>
      </pivotArea>
    </chartFormat>
    <chartFormat chart="10"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A7ADA26E-EB71-4D84-94BC-9C948BC29602}" sourceName="Department Name">
  <pivotTables>
    <pivotTable tabId="7" name="PivotTable17"/>
    <pivotTable tabId="7" name="PivotTable10"/>
    <pivotTable tabId="7" name="PivotTable15"/>
    <pivotTable tabId="7" name="PivotTable9"/>
  </pivotTables>
  <data>
    <tabular pivotCacheId="163122100">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2" xr10:uid="{1A5C94A5-1ED7-4DD8-BCF7-AE74D9CF0455}" sourceName="Employment Status2">
  <pivotTables>
    <pivotTable tabId="7" name="PivotTable17"/>
    <pivotTable tabId="7" name="PivotTable10"/>
    <pivotTable tabId="7" name="PivotTable15"/>
    <pivotTable tabId="7" name="PivotTable9"/>
  </pivotTables>
  <data>
    <tabular pivotCacheId="16312210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ervice" xr10:uid="{056EFEB8-2739-485C-9058-DD14FAFB47A4}" sourceName="Year of Service">
  <pivotTables>
    <pivotTable tabId="7" name="PivotTable17"/>
    <pivotTable tabId="7" name="PivotTable10"/>
    <pivotTable tabId="7" name="PivotTable15"/>
    <pivotTable tabId="7" name="PivotTable9"/>
  </pivotTables>
  <data>
    <tabular pivotCacheId="163122100">
      <items count="10">
        <i x="5" s="1"/>
        <i x="3" s="1"/>
        <i x="1" s="1"/>
        <i x="6" s="1"/>
        <i x="4" s="1"/>
        <i x="8" s="1"/>
        <i x="0" s="1"/>
        <i x="7" s="1"/>
        <i x="2"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Name 2" xr10:uid="{1D8D56F3-96A9-4C54-9D3B-EA5C4AF22126}" cache="Slicer_Department_Name" caption="Department Name" style="SlicerStyleDark3" rowHeight="241300"/>
  <slicer name="Employment Status2 2" xr10:uid="{D7E59DD7-80D9-409B-9003-90BA585D6C1F}" cache="Slicer_Employment_Status2" caption="Employment Status2" style="SlicerStyleDark3" rowHeight="241300"/>
  <slicer name="Year of Service 2" xr10:uid="{F57FCD28-86E6-4077-8594-F5750421FD68}" cache="Slicer_Year_of_Service" caption="Year of Service"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8"/>
  <sheetViews>
    <sheetView workbookViewId="0">
      <selection activeCell="B1" sqref="B1:B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s="2">
        <v>43093</v>
      </c>
      <c r="F2">
        <v>50361</v>
      </c>
      <c r="G2">
        <v>52</v>
      </c>
      <c r="H2" t="s">
        <v>12</v>
      </c>
    </row>
    <row r="3" spans="1:8" x14ac:dyDescent="0.25">
      <c r="A3" t="s">
        <v>13</v>
      </c>
      <c r="B3" t="s">
        <v>14</v>
      </c>
      <c r="C3" t="s">
        <v>15</v>
      </c>
      <c r="D3" t="s">
        <v>16</v>
      </c>
      <c r="E3" s="2">
        <v>44659</v>
      </c>
      <c r="F3">
        <v>112673</v>
      </c>
      <c r="H3" t="s">
        <v>17</v>
      </c>
    </row>
    <row r="4" spans="1:8" x14ac:dyDescent="0.25">
      <c r="A4" t="s">
        <v>18</v>
      </c>
      <c r="B4" t="s">
        <v>9</v>
      </c>
      <c r="C4" t="s">
        <v>19</v>
      </c>
      <c r="D4" t="s">
        <v>20</v>
      </c>
      <c r="E4" s="2">
        <v>42431</v>
      </c>
      <c r="F4" t="s">
        <v>21</v>
      </c>
      <c r="G4">
        <v>54</v>
      </c>
      <c r="H4" t="s">
        <v>22</v>
      </c>
    </row>
    <row r="5" spans="1:8" x14ac:dyDescent="0.25">
      <c r="A5" t="s">
        <v>23</v>
      </c>
      <c r="B5" t="s">
        <v>24</v>
      </c>
      <c r="C5" t="s">
        <v>25</v>
      </c>
      <c r="D5" t="s">
        <v>26</v>
      </c>
      <c r="E5" s="2">
        <v>45110</v>
      </c>
      <c r="F5">
        <v>103831</v>
      </c>
      <c r="G5">
        <v>70</v>
      </c>
      <c r="H5" t="s">
        <v>12</v>
      </c>
    </row>
    <row r="6" spans="1:8" x14ac:dyDescent="0.25">
      <c r="A6" t="s">
        <v>27</v>
      </c>
      <c r="B6" t="s">
        <v>28</v>
      </c>
      <c r="C6" t="s">
        <v>29</v>
      </c>
      <c r="D6" t="s">
        <v>11</v>
      </c>
      <c r="E6" s="2">
        <v>44977</v>
      </c>
      <c r="F6">
        <v>73785</v>
      </c>
      <c r="G6">
        <v>40</v>
      </c>
      <c r="H6" t="s">
        <v>30</v>
      </c>
    </row>
    <row r="7" spans="1:8" x14ac:dyDescent="0.25">
      <c r="A7" t="s">
        <v>31</v>
      </c>
      <c r="B7" t="s">
        <v>9</v>
      </c>
      <c r="C7" t="s">
        <v>32</v>
      </c>
      <c r="D7" t="s">
        <v>33</v>
      </c>
      <c r="E7" t="s">
        <v>34</v>
      </c>
      <c r="F7">
        <v>115882</v>
      </c>
      <c r="G7">
        <v>49</v>
      </c>
      <c r="H7" t="s">
        <v>17</v>
      </c>
    </row>
    <row r="8" spans="1:8" x14ac:dyDescent="0.25">
      <c r="A8" t="s">
        <v>35</v>
      </c>
      <c r="B8" t="s">
        <v>24</v>
      </c>
      <c r="C8" t="s">
        <v>36</v>
      </c>
      <c r="D8" t="s">
        <v>37</v>
      </c>
      <c r="E8" s="2">
        <v>45272</v>
      </c>
      <c r="F8">
        <v>59980</v>
      </c>
      <c r="G8">
        <v>70</v>
      </c>
      <c r="H8" t="s">
        <v>30</v>
      </c>
    </row>
    <row r="9" spans="1:8" x14ac:dyDescent="0.25">
      <c r="A9" t="s">
        <v>38</v>
      </c>
      <c r="B9" t="s">
        <v>39</v>
      </c>
      <c r="C9" t="s">
        <v>29</v>
      </c>
      <c r="D9" t="s">
        <v>37</v>
      </c>
      <c r="E9" s="2">
        <v>44174</v>
      </c>
      <c r="F9">
        <v>68728</v>
      </c>
      <c r="G9">
        <v>45</v>
      </c>
      <c r="H9" t="s">
        <v>17</v>
      </c>
    </row>
    <row r="10" spans="1:8" x14ac:dyDescent="0.25">
      <c r="A10" t="s">
        <v>40</v>
      </c>
      <c r="C10" t="s">
        <v>41</v>
      </c>
      <c r="D10" t="s">
        <v>26</v>
      </c>
      <c r="E10" s="2">
        <v>43107</v>
      </c>
      <c r="F10">
        <v>102139</v>
      </c>
      <c r="G10">
        <v>79</v>
      </c>
      <c r="H10" t="s">
        <v>12</v>
      </c>
    </row>
    <row r="11" spans="1:8" x14ac:dyDescent="0.25">
      <c r="A11" t="s">
        <v>42</v>
      </c>
      <c r="B11" t="s">
        <v>43</v>
      </c>
      <c r="C11" t="s">
        <v>25</v>
      </c>
      <c r="D11" t="s">
        <v>44</v>
      </c>
      <c r="E11" s="2">
        <v>42676</v>
      </c>
      <c r="F11">
        <v>94998</v>
      </c>
      <c r="G11">
        <v>58</v>
      </c>
      <c r="H11" t="s">
        <v>45</v>
      </c>
    </row>
    <row r="12" spans="1:8" x14ac:dyDescent="0.25">
      <c r="A12" t="s">
        <v>46</v>
      </c>
      <c r="B12" t="s">
        <v>9</v>
      </c>
      <c r="C12" t="s">
        <v>47</v>
      </c>
      <c r="D12" t="s">
        <v>48</v>
      </c>
      <c r="E12" s="2">
        <v>43911</v>
      </c>
      <c r="F12" t="s">
        <v>49</v>
      </c>
      <c r="G12">
        <v>49</v>
      </c>
      <c r="H12" t="s">
        <v>45</v>
      </c>
    </row>
    <row r="13" spans="1:8" x14ac:dyDescent="0.25">
      <c r="A13" t="s">
        <v>50</v>
      </c>
      <c r="B13" t="s">
        <v>9</v>
      </c>
      <c r="C13" t="s">
        <v>15</v>
      </c>
      <c r="D13" t="s">
        <v>11</v>
      </c>
      <c r="E13" s="2">
        <v>42425</v>
      </c>
      <c r="F13">
        <v>76918</v>
      </c>
      <c r="G13">
        <v>62</v>
      </c>
      <c r="H13" t="s">
        <v>51</v>
      </c>
    </row>
    <row r="14" spans="1:8" x14ac:dyDescent="0.25">
      <c r="A14" t="s">
        <v>52</v>
      </c>
      <c r="B14" t="s">
        <v>53</v>
      </c>
      <c r="C14" t="s">
        <v>54</v>
      </c>
      <c r="D14" t="s">
        <v>55</v>
      </c>
      <c r="E14" t="s">
        <v>56</v>
      </c>
      <c r="F14">
        <v>61408</v>
      </c>
      <c r="G14">
        <v>48</v>
      </c>
      <c r="H14" t="s">
        <v>17</v>
      </c>
    </row>
    <row r="15" spans="1:8" x14ac:dyDescent="0.25">
      <c r="A15" t="s">
        <v>57</v>
      </c>
      <c r="B15" t="s">
        <v>53</v>
      </c>
      <c r="C15" t="s">
        <v>47</v>
      </c>
      <c r="D15" t="s">
        <v>16</v>
      </c>
      <c r="E15" s="2">
        <v>44001</v>
      </c>
      <c r="F15">
        <v>99990</v>
      </c>
      <c r="G15">
        <v>54</v>
      </c>
      <c r="H15" t="s">
        <v>51</v>
      </c>
    </row>
    <row r="16" spans="1:8" x14ac:dyDescent="0.25">
      <c r="A16" t="s">
        <v>58</v>
      </c>
      <c r="B16" t="s">
        <v>59</v>
      </c>
      <c r="C16" t="s">
        <v>60</v>
      </c>
      <c r="D16" t="s">
        <v>61</v>
      </c>
      <c r="E16" s="2">
        <v>43820</v>
      </c>
      <c r="F16">
        <v>80385</v>
      </c>
      <c r="H16" t="s">
        <v>12</v>
      </c>
    </row>
    <row r="17" spans="1:8" x14ac:dyDescent="0.25">
      <c r="A17" t="s">
        <v>62</v>
      </c>
      <c r="B17" t="s">
        <v>28</v>
      </c>
      <c r="C17" t="s">
        <v>41</v>
      </c>
      <c r="D17" t="s">
        <v>44</v>
      </c>
      <c r="E17" s="2">
        <v>45169</v>
      </c>
      <c r="F17">
        <v>65290</v>
      </c>
      <c r="G17">
        <v>77</v>
      </c>
      <c r="H17" t="s">
        <v>12</v>
      </c>
    </row>
    <row r="18" spans="1:8" x14ac:dyDescent="0.25">
      <c r="A18" t="s">
        <v>63</v>
      </c>
      <c r="B18" t="s">
        <v>9</v>
      </c>
      <c r="C18" t="s">
        <v>64</v>
      </c>
      <c r="D18" t="s">
        <v>11</v>
      </c>
      <c r="E18" s="2">
        <v>42337</v>
      </c>
      <c r="F18">
        <v>105765</v>
      </c>
      <c r="G18">
        <v>42</v>
      </c>
      <c r="H18" t="s">
        <v>45</v>
      </c>
    </row>
    <row r="19" spans="1:8" x14ac:dyDescent="0.25">
      <c r="A19" t="s">
        <v>65</v>
      </c>
      <c r="B19" t="s">
        <v>66</v>
      </c>
      <c r="C19" t="s">
        <v>25</v>
      </c>
      <c r="D19" t="s">
        <v>44</v>
      </c>
      <c r="E19" s="2">
        <v>42899</v>
      </c>
      <c r="F19">
        <v>102921</v>
      </c>
      <c r="G19">
        <v>49</v>
      </c>
      <c r="H19" t="s">
        <v>17</v>
      </c>
    </row>
    <row r="20" spans="1:8" x14ac:dyDescent="0.25">
      <c r="A20" t="s">
        <v>50</v>
      </c>
      <c r="B20" t="s">
        <v>9</v>
      </c>
      <c r="C20" t="s">
        <v>15</v>
      </c>
      <c r="D20" t="s">
        <v>11</v>
      </c>
      <c r="E20" s="2">
        <v>42425</v>
      </c>
      <c r="F20">
        <v>76918</v>
      </c>
      <c r="G20">
        <v>62</v>
      </c>
      <c r="H20" t="s">
        <v>51</v>
      </c>
    </row>
    <row r="21" spans="1:8" x14ac:dyDescent="0.25">
      <c r="A21" t="s">
        <v>67</v>
      </c>
      <c r="B21" t="s">
        <v>68</v>
      </c>
      <c r="C21" t="s">
        <v>69</v>
      </c>
      <c r="D21" t="s">
        <v>16</v>
      </c>
      <c r="E21" s="2">
        <v>43235</v>
      </c>
      <c r="F21">
        <v>73984</v>
      </c>
      <c r="G21">
        <v>93</v>
      </c>
      <c r="H21" t="s">
        <v>51</v>
      </c>
    </row>
    <row r="22" spans="1:8" x14ac:dyDescent="0.25">
      <c r="A22" t="s">
        <v>70</v>
      </c>
      <c r="B22" t="s">
        <v>71</v>
      </c>
      <c r="C22" t="s">
        <v>19</v>
      </c>
      <c r="D22" t="s">
        <v>11</v>
      </c>
      <c r="E22" s="2">
        <v>42575</v>
      </c>
      <c r="G22">
        <v>75</v>
      </c>
      <c r="H22" t="s">
        <v>51</v>
      </c>
    </row>
    <row r="23" spans="1:8" x14ac:dyDescent="0.25">
      <c r="A23" t="s">
        <v>72</v>
      </c>
      <c r="B23" t="s">
        <v>43</v>
      </c>
      <c r="C23" t="s">
        <v>15</v>
      </c>
      <c r="D23" t="s">
        <v>26</v>
      </c>
      <c r="E23" s="2">
        <v>43076</v>
      </c>
      <c r="F23">
        <v>118527</v>
      </c>
      <c r="G23">
        <v>50</v>
      </c>
      <c r="H23" t="s">
        <v>51</v>
      </c>
    </row>
    <row r="24" spans="1:8" x14ac:dyDescent="0.25">
      <c r="A24" t="s">
        <v>73</v>
      </c>
      <c r="B24" t="s">
        <v>14</v>
      </c>
      <c r="C24" t="s">
        <v>15</v>
      </c>
      <c r="D24" t="s">
        <v>16</v>
      </c>
      <c r="E24" s="2">
        <v>44353</v>
      </c>
      <c r="F24">
        <v>107871</v>
      </c>
      <c r="G24">
        <v>88</v>
      </c>
      <c r="H24" t="s">
        <v>12</v>
      </c>
    </row>
    <row r="25" spans="1:8" x14ac:dyDescent="0.25">
      <c r="A25" t="s">
        <v>74</v>
      </c>
      <c r="B25" t="s">
        <v>43</v>
      </c>
      <c r="C25" t="s">
        <v>41</v>
      </c>
      <c r="D25" t="s">
        <v>20</v>
      </c>
      <c r="E25" s="2">
        <v>44815</v>
      </c>
      <c r="F25">
        <v>93956</v>
      </c>
      <c r="G25">
        <v>50</v>
      </c>
      <c r="H25" t="s">
        <v>22</v>
      </c>
    </row>
    <row r="26" spans="1:8" x14ac:dyDescent="0.25">
      <c r="A26" t="s">
        <v>75</v>
      </c>
      <c r="B26" t="s">
        <v>39</v>
      </c>
      <c r="C26" t="s">
        <v>32</v>
      </c>
      <c r="D26" t="s">
        <v>76</v>
      </c>
      <c r="E26" s="2">
        <v>42565</v>
      </c>
      <c r="F26">
        <v>100851</v>
      </c>
      <c r="G26">
        <v>64</v>
      </c>
      <c r="H26" t="s">
        <v>17</v>
      </c>
    </row>
    <row r="27" spans="1:8" x14ac:dyDescent="0.25">
      <c r="A27" t="s">
        <v>77</v>
      </c>
      <c r="B27" t="s">
        <v>68</v>
      </c>
      <c r="C27" t="s">
        <v>54</v>
      </c>
      <c r="D27" t="s">
        <v>44</v>
      </c>
      <c r="E27" s="2">
        <v>44728</v>
      </c>
      <c r="F27">
        <v>68655</v>
      </c>
      <c r="G27">
        <v>32</v>
      </c>
      <c r="H27" t="s">
        <v>12</v>
      </c>
    </row>
    <row r="28" spans="1:8" x14ac:dyDescent="0.25">
      <c r="A28" t="s">
        <v>78</v>
      </c>
      <c r="C28" t="s">
        <v>54</v>
      </c>
      <c r="D28" t="s">
        <v>79</v>
      </c>
      <c r="E28" s="2">
        <v>45134</v>
      </c>
      <c r="F28">
        <v>81205</v>
      </c>
      <c r="G28">
        <v>59</v>
      </c>
      <c r="H28" t="s">
        <v>51</v>
      </c>
    </row>
    <row r="29" spans="1:8" x14ac:dyDescent="0.25">
      <c r="A29" t="s">
        <v>80</v>
      </c>
      <c r="B29" t="s">
        <v>24</v>
      </c>
      <c r="C29" t="s">
        <v>36</v>
      </c>
      <c r="D29" t="s">
        <v>44</v>
      </c>
      <c r="E29" t="s">
        <v>81</v>
      </c>
      <c r="F29" t="s">
        <v>82</v>
      </c>
      <c r="G29">
        <v>88</v>
      </c>
      <c r="H29" t="s">
        <v>51</v>
      </c>
    </row>
    <row r="30" spans="1:8" x14ac:dyDescent="0.25">
      <c r="A30" t="s">
        <v>83</v>
      </c>
      <c r="B30" t="s">
        <v>28</v>
      </c>
      <c r="C30" t="s">
        <v>41</v>
      </c>
      <c r="D30" t="s">
        <v>84</v>
      </c>
      <c r="E30" s="2">
        <v>44765</v>
      </c>
      <c r="F30" t="s">
        <v>85</v>
      </c>
      <c r="G30">
        <v>90</v>
      </c>
      <c r="H30" t="s">
        <v>45</v>
      </c>
    </row>
    <row r="31" spans="1:8" x14ac:dyDescent="0.25">
      <c r="A31" t="s">
        <v>86</v>
      </c>
      <c r="B31" t="s">
        <v>43</v>
      </c>
      <c r="C31" t="s">
        <v>36</v>
      </c>
      <c r="D31" t="s">
        <v>87</v>
      </c>
      <c r="E31" t="s">
        <v>88</v>
      </c>
      <c r="F31">
        <v>85312</v>
      </c>
      <c r="G31">
        <v>66</v>
      </c>
      <c r="H31" t="s">
        <v>12</v>
      </c>
    </row>
    <row r="32" spans="1:8" x14ac:dyDescent="0.25">
      <c r="A32" t="s">
        <v>89</v>
      </c>
      <c r="B32" t="s">
        <v>24</v>
      </c>
      <c r="C32" t="s">
        <v>41</v>
      </c>
      <c r="D32" t="s">
        <v>44</v>
      </c>
      <c r="E32" s="2">
        <v>42202</v>
      </c>
      <c r="G32">
        <v>68</v>
      </c>
      <c r="H32" t="s">
        <v>12</v>
      </c>
    </row>
    <row r="33" spans="1:8" x14ac:dyDescent="0.25">
      <c r="A33" t="s">
        <v>90</v>
      </c>
      <c r="B33" t="s">
        <v>28</v>
      </c>
      <c r="C33" t="s">
        <v>15</v>
      </c>
      <c r="D33" t="s">
        <v>33</v>
      </c>
      <c r="E33" t="s">
        <v>91</v>
      </c>
      <c r="F33">
        <v>97055</v>
      </c>
      <c r="G33">
        <v>80</v>
      </c>
      <c r="H33" t="s">
        <v>51</v>
      </c>
    </row>
    <row r="34" spans="1:8" x14ac:dyDescent="0.25">
      <c r="A34" t="s">
        <v>92</v>
      </c>
      <c r="B34" t="s">
        <v>43</v>
      </c>
      <c r="C34" t="s">
        <v>32</v>
      </c>
      <c r="D34" t="s">
        <v>11</v>
      </c>
      <c r="E34" s="2">
        <v>45195</v>
      </c>
      <c r="F34">
        <v>66069</v>
      </c>
      <c r="G34">
        <v>72</v>
      </c>
      <c r="H34" t="s">
        <v>51</v>
      </c>
    </row>
    <row r="35" spans="1:8" x14ac:dyDescent="0.25">
      <c r="A35" t="s">
        <v>93</v>
      </c>
      <c r="B35" t="s">
        <v>94</v>
      </c>
      <c r="C35" t="s">
        <v>10</v>
      </c>
      <c r="D35" t="s">
        <v>84</v>
      </c>
      <c r="E35" t="s">
        <v>95</v>
      </c>
      <c r="F35">
        <v>90157</v>
      </c>
      <c r="G35">
        <v>58</v>
      </c>
      <c r="H35" t="s">
        <v>12</v>
      </c>
    </row>
    <row r="36" spans="1:8" x14ac:dyDescent="0.25">
      <c r="A36" t="s">
        <v>96</v>
      </c>
      <c r="B36" t="s">
        <v>53</v>
      </c>
      <c r="C36" t="s">
        <v>25</v>
      </c>
      <c r="D36" t="s">
        <v>97</v>
      </c>
      <c r="E36" s="2">
        <v>44578</v>
      </c>
      <c r="F36">
        <v>59899</v>
      </c>
      <c r="G36">
        <v>78</v>
      </c>
      <c r="H36" t="s">
        <v>51</v>
      </c>
    </row>
    <row r="37" spans="1:8" x14ac:dyDescent="0.25">
      <c r="A37" t="s">
        <v>98</v>
      </c>
      <c r="B37" t="s">
        <v>9</v>
      </c>
      <c r="C37" t="s">
        <v>60</v>
      </c>
      <c r="D37" t="s">
        <v>76</v>
      </c>
      <c r="E37" t="s">
        <v>99</v>
      </c>
      <c r="F37">
        <v>113389</v>
      </c>
      <c r="G37">
        <v>30</v>
      </c>
      <c r="H37" t="s">
        <v>17</v>
      </c>
    </row>
    <row r="38" spans="1:8" x14ac:dyDescent="0.25">
      <c r="A38" t="s">
        <v>100</v>
      </c>
      <c r="C38" t="s">
        <v>10</v>
      </c>
      <c r="D38" t="s">
        <v>20</v>
      </c>
      <c r="E38" t="s">
        <v>101</v>
      </c>
      <c r="F38">
        <v>102691</v>
      </c>
      <c r="G38">
        <v>52</v>
      </c>
      <c r="H38" t="s">
        <v>45</v>
      </c>
    </row>
    <row r="39" spans="1:8" x14ac:dyDescent="0.25">
      <c r="A39" t="s">
        <v>102</v>
      </c>
      <c r="B39" t="s">
        <v>24</v>
      </c>
      <c r="C39" t="s">
        <v>36</v>
      </c>
      <c r="D39" t="s">
        <v>33</v>
      </c>
      <c r="E39" t="s">
        <v>103</v>
      </c>
      <c r="F39">
        <v>111845</v>
      </c>
      <c r="G39">
        <v>98</v>
      </c>
      <c r="H39" t="s">
        <v>12</v>
      </c>
    </row>
    <row r="40" spans="1:8" x14ac:dyDescent="0.25">
      <c r="A40" t="s">
        <v>104</v>
      </c>
      <c r="B40" t="s">
        <v>105</v>
      </c>
      <c r="C40" t="s">
        <v>10</v>
      </c>
      <c r="D40" t="s">
        <v>79</v>
      </c>
      <c r="E40" t="s">
        <v>106</v>
      </c>
      <c r="F40">
        <v>69219</v>
      </c>
      <c r="G40">
        <v>93</v>
      </c>
      <c r="H40" t="s">
        <v>51</v>
      </c>
    </row>
    <row r="41" spans="1:8" x14ac:dyDescent="0.25">
      <c r="A41" t="s">
        <v>107</v>
      </c>
      <c r="B41" t="s">
        <v>43</v>
      </c>
      <c r="C41" t="s">
        <v>29</v>
      </c>
      <c r="D41" t="s">
        <v>26</v>
      </c>
      <c r="E41" s="2">
        <v>43949</v>
      </c>
      <c r="G41">
        <v>80</v>
      </c>
      <c r="H41" t="s">
        <v>108</v>
      </c>
    </row>
    <row r="42" spans="1:8" x14ac:dyDescent="0.25">
      <c r="A42" t="s">
        <v>109</v>
      </c>
      <c r="B42" t="s">
        <v>94</v>
      </c>
      <c r="C42" t="s">
        <v>47</v>
      </c>
      <c r="D42" t="s">
        <v>33</v>
      </c>
      <c r="E42" t="s">
        <v>110</v>
      </c>
      <c r="F42">
        <v>57514</v>
      </c>
      <c r="H42" t="s">
        <v>12</v>
      </c>
    </row>
    <row r="43" spans="1:8" x14ac:dyDescent="0.25">
      <c r="A43" t="s">
        <v>111</v>
      </c>
      <c r="B43" t="s">
        <v>9</v>
      </c>
      <c r="C43" t="s">
        <v>36</v>
      </c>
      <c r="D43" t="s">
        <v>44</v>
      </c>
      <c r="E43" s="2">
        <v>43181</v>
      </c>
      <c r="F43">
        <v>86245</v>
      </c>
      <c r="G43">
        <v>71</v>
      </c>
      <c r="H43" t="s">
        <v>22</v>
      </c>
    </row>
    <row r="44" spans="1:8" x14ac:dyDescent="0.25">
      <c r="A44" t="s">
        <v>112</v>
      </c>
      <c r="B44" t="s">
        <v>113</v>
      </c>
      <c r="C44" t="s">
        <v>15</v>
      </c>
      <c r="D44" t="s">
        <v>44</v>
      </c>
      <c r="E44" s="2">
        <v>43958</v>
      </c>
      <c r="F44">
        <v>52407</v>
      </c>
      <c r="G44">
        <v>55</v>
      </c>
      <c r="H44" t="s">
        <v>12</v>
      </c>
    </row>
    <row r="45" spans="1:8" x14ac:dyDescent="0.25">
      <c r="A45" t="s">
        <v>114</v>
      </c>
      <c r="B45" t="s">
        <v>66</v>
      </c>
      <c r="C45" t="s">
        <v>29</v>
      </c>
      <c r="D45" t="s">
        <v>37</v>
      </c>
      <c r="E45" s="2">
        <v>43549</v>
      </c>
      <c r="F45" t="s">
        <v>115</v>
      </c>
      <c r="G45">
        <v>93</v>
      </c>
      <c r="H45" t="s">
        <v>116</v>
      </c>
    </row>
    <row r="46" spans="1:8" x14ac:dyDescent="0.25">
      <c r="A46" t="s">
        <v>117</v>
      </c>
      <c r="B46" t="s">
        <v>94</v>
      </c>
      <c r="C46" t="s">
        <v>54</v>
      </c>
      <c r="D46" t="s">
        <v>11</v>
      </c>
      <c r="E46" s="2">
        <v>43686</v>
      </c>
      <c r="F46">
        <v>81896</v>
      </c>
      <c r="G46">
        <v>79</v>
      </c>
      <c r="H46" t="s">
        <v>116</v>
      </c>
    </row>
    <row r="47" spans="1:8" x14ac:dyDescent="0.25">
      <c r="A47" t="s">
        <v>118</v>
      </c>
      <c r="B47" t="s">
        <v>71</v>
      </c>
      <c r="C47" t="s">
        <v>69</v>
      </c>
      <c r="D47" t="s">
        <v>44</v>
      </c>
      <c r="E47" t="s">
        <v>119</v>
      </c>
      <c r="F47">
        <v>78402</v>
      </c>
      <c r="G47">
        <v>54</v>
      </c>
      <c r="H47" t="s">
        <v>17</v>
      </c>
    </row>
    <row r="48" spans="1:8" x14ac:dyDescent="0.25">
      <c r="A48" t="s">
        <v>120</v>
      </c>
      <c r="B48" t="s">
        <v>28</v>
      </c>
      <c r="C48" t="s">
        <v>69</v>
      </c>
      <c r="D48" t="s">
        <v>37</v>
      </c>
      <c r="E48" s="2">
        <v>42647</v>
      </c>
      <c r="F48">
        <v>105498</v>
      </c>
      <c r="G48">
        <v>76</v>
      </c>
      <c r="H48" t="s">
        <v>12</v>
      </c>
    </row>
    <row r="49" spans="1:8" x14ac:dyDescent="0.25">
      <c r="A49" t="s">
        <v>121</v>
      </c>
      <c r="B49" t="s">
        <v>105</v>
      </c>
      <c r="C49" t="s">
        <v>32</v>
      </c>
      <c r="D49" t="s">
        <v>16</v>
      </c>
      <c r="E49" t="s">
        <v>122</v>
      </c>
      <c r="F49">
        <v>91749</v>
      </c>
      <c r="G49">
        <v>72</v>
      </c>
      <c r="H49" t="s">
        <v>108</v>
      </c>
    </row>
    <row r="50" spans="1:8" x14ac:dyDescent="0.25">
      <c r="A50" t="s">
        <v>123</v>
      </c>
      <c r="B50" t="s">
        <v>71</v>
      </c>
      <c r="C50" t="s">
        <v>32</v>
      </c>
      <c r="D50" t="s">
        <v>37</v>
      </c>
      <c r="E50" s="2">
        <v>44437</v>
      </c>
      <c r="F50">
        <v>99935</v>
      </c>
      <c r="G50">
        <v>84</v>
      </c>
      <c r="H50" t="s">
        <v>116</v>
      </c>
    </row>
    <row r="51" spans="1:8" x14ac:dyDescent="0.25">
      <c r="A51" t="s">
        <v>124</v>
      </c>
      <c r="B51" t="s">
        <v>24</v>
      </c>
      <c r="C51" t="s">
        <v>64</v>
      </c>
      <c r="D51" t="s">
        <v>20</v>
      </c>
      <c r="E51" s="2">
        <v>42761</v>
      </c>
      <c r="F51">
        <v>83531</v>
      </c>
      <c r="G51">
        <v>30</v>
      </c>
      <c r="H51" t="s">
        <v>108</v>
      </c>
    </row>
    <row r="52" spans="1:8" x14ac:dyDescent="0.25">
      <c r="A52" t="s">
        <v>125</v>
      </c>
      <c r="B52" t="s">
        <v>66</v>
      </c>
      <c r="C52" t="s">
        <v>32</v>
      </c>
      <c r="D52" t="s">
        <v>55</v>
      </c>
      <c r="E52" s="2">
        <v>43981</v>
      </c>
      <c r="F52" t="s">
        <v>126</v>
      </c>
      <c r="H52" t="s">
        <v>17</v>
      </c>
    </row>
    <row r="53" spans="1:8" x14ac:dyDescent="0.25">
      <c r="A53" t="s">
        <v>127</v>
      </c>
      <c r="B53" t="s">
        <v>53</v>
      </c>
      <c r="C53" t="s">
        <v>64</v>
      </c>
      <c r="D53" t="s">
        <v>97</v>
      </c>
      <c r="E53" s="2">
        <v>44612</v>
      </c>
      <c r="F53">
        <v>93290</v>
      </c>
      <c r="G53">
        <v>53</v>
      </c>
      <c r="H53" t="s">
        <v>17</v>
      </c>
    </row>
    <row r="54" spans="1:8" x14ac:dyDescent="0.25">
      <c r="A54" t="s">
        <v>128</v>
      </c>
      <c r="B54" t="s">
        <v>14</v>
      </c>
      <c r="C54" t="s">
        <v>64</v>
      </c>
      <c r="D54" t="s">
        <v>33</v>
      </c>
      <c r="E54" s="2">
        <v>42628</v>
      </c>
      <c r="F54">
        <v>115527</v>
      </c>
      <c r="G54">
        <v>63</v>
      </c>
      <c r="H54" t="s">
        <v>116</v>
      </c>
    </row>
    <row r="55" spans="1:8" x14ac:dyDescent="0.25">
      <c r="A55" t="s">
        <v>129</v>
      </c>
      <c r="B55" t="s">
        <v>28</v>
      </c>
      <c r="C55" t="s">
        <v>41</v>
      </c>
      <c r="D55" t="s">
        <v>76</v>
      </c>
      <c r="E55" t="s">
        <v>130</v>
      </c>
      <c r="F55">
        <v>55920</v>
      </c>
      <c r="G55">
        <v>84</v>
      </c>
      <c r="H55" t="s">
        <v>51</v>
      </c>
    </row>
    <row r="56" spans="1:8" x14ac:dyDescent="0.25">
      <c r="A56" t="s">
        <v>131</v>
      </c>
      <c r="B56" t="s">
        <v>9</v>
      </c>
      <c r="C56" t="s">
        <v>32</v>
      </c>
      <c r="D56" t="s">
        <v>44</v>
      </c>
      <c r="E56" s="2">
        <v>43464</v>
      </c>
      <c r="F56">
        <v>80189</v>
      </c>
      <c r="G56">
        <v>30</v>
      </c>
      <c r="H56" t="s">
        <v>45</v>
      </c>
    </row>
    <row r="57" spans="1:8" x14ac:dyDescent="0.25">
      <c r="A57" t="s">
        <v>132</v>
      </c>
      <c r="B57" t="s">
        <v>9</v>
      </c>
      <c r="C57" t="s">
        <v>133</v>
      </c>
      <c r="D57" t="s">
        <v>97</v>
      </c>
      <c r="E57" s="2">
        <v>44189</v>
      </c>
      <c r="F57">
        <v>118947</v>
      </c>
      <c r="G57">
        <v>96</v>
      </c>
      <c r="H57" t="s">
        <v>12</v>
      </c>
    </row>
    <row r="58" spans="1:8" x14ac:dyDescent="0.25">
      <c r="A58" t="s">
        <v>134</v>
      </c>
      <c r="B58" t="s">
        <v>53</v>
      </c>
      <c r="C58" t="s">
        <v>135</v>
      </c>
      <c r="D58" t="s">
        <v>11</v>
      </c>
      <c r="E58" s="2">
        <v>45112</v>
      </c>
      <c r="G58">
        <v>54</v>
      </c>
      <c r="H58" t="s">
        <v>51</v>
      </c>
    </row>
    <row r="59" spans="1:8" x14ac:dyDescent="0.25">
      <c r="A59" t="s">
        <v>136</v>
      </c>
      <c r="B59" t="s">
        <v>28</v>
      </c>
      <c r="C59" t="s">
        <v>133</v>
      </c>
      <c r="D59" t="s">
        <v>37</v>
      </c>
      <c r="E59" s="2">
        <v>44148</v>
      </c>
      <c r="G59">
        <v>75</v>
      </c>
      <c r="H59" t="s">
        <v>51</v>
      </c>
    </row>
    <row r="60" spans="1:8" x14ac:dyDescent="0.25">
      <c r="A60" t="s">
        <v>137</v>
      </c>
      <c r="B60" t="s">
        <v>113</v>
      </c>
      <c r="C60" t="s">
        <v>25</v>
      </c>
      <c r="D60" t="s">
        <v>138</v>
      </c>
      <c r="E60" t="s">
        <v>139</v>
      </c>
      <c r="F60">
        <v>91655</v>
      </c>
      <c r="G60">
        <v>95</v>
      </c>
      <c r="H60" t="s">
        <v>45</v>
      </c>
    </row>
    <row r="61" spans="1:8" x14ac:dyDescent="0.25">
      <c r="A61" t="s">
        <v>140</v>
      </c>
      <c r="B61" t="s">
        <v>9</v>
      </c>
      <c r="C61" t="s">
        <v>10</v>
      </c>
      <c r="D61" t="s">
        <v>11</v>
      </c>
      <c r="E61" s="2">
        <v>45255</v>
      </c>
      <c r="F61">
        <v>49435</v>
      </c>
      <c r="H61" t="s">
        <v>108</v>
      </c>
    </row>
    <row r="62" spans="1:8" x14ac:dyDescent="0.25">
      <c r="A62" t="s">
        <v>141</v>
      </c>
      <c r="B62" t="s">
        <v>9</v>
      </c>
      <c r="C62" t="s">
        <v>36</v>
      </c>
      <c r="D62" t="s">
        <v>48</v>
      </c>
      <c r="E62" s="2">
        <v>45217</v>
      </c>
      <c r="F62">
        <v>110381</v>
      </c>
      <c r="G62">
        <v>93</v>
      </c>
      <c r="H62" t="s">
        <v>45</v>
      </c>
    </row>
    <row r="63" spans="1:8" x14ac:dyDescent="0.25">
      <c r="A63" t="s">
        <v>142</v>
      </c>
      <c r="B63" t="s">
        <v>43</v>
      </c>
      <c r="C63" t="s">
        <v>135</v>
      </c>
      <c r="D63" t="s">
        <v>97</v>
      </c>
      <c r="E63" s="2">
        <v>44079</v>
      </c>
      <c r="F63">
        <v>114748</v>
      </c>
      <c r="G63">
        <v>33</v>
      </c>
      <c r="H63" t="s">
        <v>12</v>
      </c>
    </row>
    <row r="64" spans="1:8" x14ac:dyDescent="0.25">
      <c r="A64" t="s">
        <v>143</v>
      </c>
      <c r="B64" t="s">
        <v>59</v>
      </c>
      <c r="C64" t="s">
        <v>32</v>
      </c>
      <c r="D64" t="s">
        <v>33</v>
      </c>
      <c r="E64" s="2">
        <v>42800</v>
      </c>
      <c r="F64">
        <v>63302</v>
      </c>
      <c r="G64">
        <v>91</v>
      </c>
      <c r="H64" t="s">
        <v>12</v>
      </c>
    </row>
    <row r="65" spans="1:8" x14ac:dyDescent="0.25">
      <c r="A65" t="s">
        <v>144</v>
      </c>
      <c r="B65" t="s">
        <v>59</v>
      </c>
      <c r="C65" t="s">
        <v>47</v>
      </c>
      <c r="D65" t="s">
        <v>84</v>
      </c>
      <c r="E65" s="2">
        <v>42122</v>
      </c>
      <c r="F65" t="s">
        <v>145</v>
      </c>
      <c r="G65">
        <v>64</v>
      </c>
      <c r="H65" t="s">
        <v>12</v>
      </c>
    </row>
    <row r="66" spans="1:8" x14ac:dyDescent="0.25">
      <c r="A66" t="s">
        <v>146</v>
      </c>
      <c r="B66" t="s">
        <v>53</v>
      </c>
      <c r="C66" t="s">
        <v>64</v>
      </c>
      <c r="D66" t="s">
        <v>76</v>
      </c>
      <c r="E66" s="2">
        <v>42838</v>
      </c>
      <c r="F66">
        <v>103891</v>
      </c>
      <c r="G66">
        <v>80</v>
      </c>
      <c r="H66" t="s">
        <v>12</v>
      </c>
    </row>
    <row r="67" spans="1:8" x14ac:dyDescent="0.25">
      <c r="A67" t="s">
        <v>147</v>
      </c>
      <c r="B67" t="s">
        <v>28</v>
      </c>
      <c r="C67" t="s">
        <v>64</v>
      </c>
      <c r="D67" t="s">
        <v>33</v>
      </c>
      <c r="E67" s="2">
        <v>44827</v>
      </c>
      <c r="G67">
        <v>46</v>
      </c>
      <c r="H67" t="s">
        <v>22</v>
      </c>
    </row>
    <row r="68" spans="1:8" x14ac:dyDescent="0.25">
      <c r="A68" t="s">
        <v>148</v>
      </c>
      <c r="B68" t="s">
        <v>28</v>
      </c>
      <c r="C68" t="s">
        <v>60</v>
      </c>
      <c r="D68" t="s">
        <v>61</v>
      </c>
      <c r="E68" t="s">
        <v>149</v>
      </c>
      <c r="F68" t="s">
        <v>150</v>
      </c>
      <c r="G68">
        <v>99</v>
      </c>
      <c r="H68" t="s">
        <v>12</v>
      </c>
    </row>
    <row r="69" spans="1:8" x14ac:dyDescent="0.25">
      <c r="A69" t="s">
        <v>151</v>
      </c>
      <c r="B69" t="s">
        <v>43</v>
      </c>
      <c r="C69" t="s">
        <v>47</v>
      </c>
      <c r="D69" t="s">
        <v>79</v>
      </c>
      <c r="E69" t="s">
        <v>152</v>
      </c>
      <c r="F69" t="s">
        <v>153</v>
      </c>
      <c r="H69" t="s">
        <v>51</v>
      </c>
    </row>
    <row r="70" spans="1:8" x14ac:dyDescent="0.25">
      <c r="A70" t="s">
        <v>154</v>
      </c>
      <c r="B70" t="s">
        <v>14</v>
      </c>
      <c r="C70" t="s">
        <v>19</v>
      </c>
      <c r="D70" t="s">
        <v>97</v>
      </c>
      <c r="E70" t="s">
        <v>155</v>
      </c>
      <c r="F70">
        <v>51567</v>
      </c>
      <c r="G70">
        <v>87</v>
      </c>
      <c r="H70" t="s">
        <v>116</v>
      </c>
    </row>
    <row r="71" spans="1:8" x14ac:dyDescent="0.25">
      <c r="A71" t="s">
        <v>156</v>
      </c>
      <c r="B71" t="s">
        <v>105</v>
      </c>
      <c r="C71" t="s">
        <v>54</v>
      </c>
      <c r="D71" t="s">
        <v>157</v>
      </c>
      <c r="E71" s="2">
        <v>44402</v>
      </c>
      <c r="G71">
        <v>36</v>
      </c>
      <c r="H71" t="s">
        <v>45</v>
      </c>
    </row>
    <row r="72" spans="1:8" x14ac:dyDescent="0.25">
      <c r="A72" t="s">
        <v>158</v>
      </c>
      <c r="B72" t="s">
        <v>59</v>
      </c>
      <c r="C72" t="s">
        <v>47</v>
      </c>
      <c r="D72" t="s">
        <v>97</v>
      </c>
      <c r="E72" s="2">
        <v>43008</v>
      </c>
      <c r="F72">
        <v>55270</v>
      </c>
      <c r="G72">
        <v>87</v>
      </c>
      <c r="H72" t="s">
        <v>51</v>
      </c>
    </row>
    <row r="73" spans="1:8" x14ac:dyDescent="0.25">
      <c r="A73" t="s">
        <v>159</v>
      </c>
      <c r="B73" t="s">
        <v>160</v>
      </c>
      <c r="C73" t="s">
        <v>133</v>
      </c>
      <c r="D73" t="s">
        <v>44</v>
      </c>
      <c r="E73" s="2">
        <v>42192</v>
      </c>
      <c r="F73">
        <v>65235</v>
      </c>
      <c r="G73">
        <v>97</v>
      </c>
      <c r="H73" t="s">
        <v>17</v>
      </c>
    </row>
    <row r="74" spans="1:8" x14ac:dyDescent="0.25">
      <c r="A74" t="s">
        <v>161</v>
      </c>
      <c r="B74" t="s">
        <v>24</v>
      </c>
      <c r="C74" t="s">
        <v>19</v>
      </c>
      <c r="D74" t="s">
        <v>44</v>
      </c>
      <c r="E74" s="2">
        <v>43283</v>
      </c>
      <c r="G74">
        <v>72</v>
      </c>
      <c r="H74" t="s">
        <v>22</v>
      </c>
    </row>
    <row r="75" spans="1:8" x14ac:dyDescent="0.25">
      <c r="A75" t="s">
        <v>162</v>
      </c>
      <c r="B75" t="s">
        <v>66</v>
      </c>
      <c r="C75" t="s">
        <v>19</v>
      </c>
      <c r="D75" t="s">
        <v>48</v>
      </c>
      <c r="E75" s="2">
        <v>44819</v>
      </c>
      <c r="G75">
        <v>65</v>
      </c>
      <c r="H75" t="s">
        <v>22</v>
      </c>
    </row>
    <row r="76" spans="1:8" x14ac:dyDescent="0.25">
      <c r="A76" t="s">
        <v>143</v>
      </c>
      <c r="B76" t="s">
        <v>59</v>
      </c>
      <c r="C76" t="s">
        <v>32</v>
      </c>
      <c r="D76" t="s">
        <v>33</v>
      </c>
      <c r="E76" s="2">
        <v>42800</v>
      </c>
      <c r="F76">
        <v>63302</v>
      </c>
      <c r="G76">
        <v>91</v>
      </c>
      <c r="H76" t="s">
        <v>12</v>
      </c>
    </row>
    <row r="77" spans="1:8" x14ac:dyDescent="0.25">
      <c r="A77" t="s">
        <v>163</v>
      </c>
      <c r="B77" t="s">
        <v>53</v>
      </c>
      <c r="C77" t="s">
        <v>19</v>
      </c>
      <c r="D77" t="s">
        <v>79</v>
      </c>
      <c r="E77" s="2">
        <v>42249</v>
      </c>
      <c r="G77">
        <v>67</v>
      </c>
      <c r="H77" t="s">
        <v>51</v>
      </c>
    </row>
    <row r="78" spans="1:8" x14ac:dyDescent="0.25">
      <c r="A78" t="s">
        <v>164</v>
      </c>
      <c r="B78" t="s">
        <v>113</v>
      </c>
      <c r="C78" t="s">
        <v>36</v>
      </c>
      <c r="D78" t="s">
        <v>165</v>
      </c>
      <c r="E78" t="s">
        <v>166</v>
      </c>
      <c r="F78">
        <v>48823</v>
      </c>
      <c r="G78">
        <v>34</v>
      </c>
      <c r="H78" t="s">
        <v>17</v>
      </c>
    </row>
    <row r="79" spans="1:8" x14ac:dyDescent="0.25">
      <c r="A79" t="s">
        <v>167</v>
      </c>
      <c r="B79" t="s">
        <v>53</v>
      </c>
      <c r="C79" t="s">
        <v>19</v>
      </c>
      <c r="D79" t="s">
        <v>76</v>
      </c>
      <c r="E79" s="2">
        <v>43575</v>
      </c>
      <c r="F79">
        <v>45196</v>
      </c>
      <c r="G79">
        <v>78</v>
      </c>
      <c r="H79" t="s">
        <v>22</v>
      </c>
    </row>
    <row r="80" spans="1:8" x14ac:dyDescent="0.25">
      <c r="A80" t="s">
        <v>168</v>
      </c>
      <c r="B80" t="s">
        <v>53</v>
      </c>
      <c r="C80" t="s">
        <v>41</v>
      </c>
      <c r="D80" t="s">
        <v>11</v>
      </c>
      <c r="E80" t="s">
        <v>169</v>
      </c>
      <c r="F80" t="s">
        <v>170</v>
      </c>
      <c r="G80">
        <v>61</v>
      </c>
      <c r="H80" t="s">
        <v>51</v>
      </c>
    </row>
    <row r="81" spans="1:8" x14ac:dyDescent="0.25">
      <c r="A81" t="s">
        <v>171</v>
      </c>
      <c r="B81" t="s">
        <v>9</v>
      </c>
      <c r="C81" t="s">
        <v>47</v>
      </c>
      <c r="D81" t="s">
        <v>44</v>
      </c>
      <c r="E81" t="s">
        <v>172</v>
      </c>
      <c r="F81">
        <v>70359</v>
      </c>
      <c r="G81">
        <v>74</v>
      </c>
      <c r="H81" t="s">
        <v>30</v>
      </c>
    </row>
    <row r="82" spans="1:8" x14ac:dyDescent="0.25">
      <c r="A82" t="s">
        <v>173</v>
      </c>
      <c r="B82" t="s">
        <v>94</v>
      </c>
      <c r="C82" t="s">
        <v>47</v>
      </c>
      <c r="D82" t="s">
        <v>61</v>
      </c>
      <c r="E82" s="2">
        <v>43599</v>
      </c>
      <c r="G82">
        <v>94</v>
      </c>
      <c r="H82" t="s">
        <v>17</v>
      </c>
    </row>
    <row r="83" spans="1:8" x14ac:dyDescent="0.25">
      <c r="A83" t="s">
        <v>90</v>
      </c>
      <c r="B83" t="s">
        <v>28</v>
      </c>
      <c r="C83" t="s">
        <v>15</v>
      </c>
      <c r="D83" t="s">
        <v>33</v>
      </c>
      <c r="E83" t="s">
        <v>91</v>
      </c>
      <c r="F83">
        <v>97055</v>
      </c>
      <c r="G83">
        <v>80</v>
      </c>
      <c r="H83" t="s">
        <v>51</v>
      </c>
    </row>
    <row r="84" spans="1:8" x14ac:dyDescent="0.25">
      <c r="A84" t="s">
        <v>174</v>
      </c>
      <c r="B84" t="s">
        <v>39</v>
      </c>
      <c r="C84" t="s">
        <v>133</v>
      </c>
      <c r="D84" t="s">
        <v>37</v>
      </c>
      <c r="E84" s="2">
        <v>42330</v>
      </c>
      <c r="F84">
        <v>86480</v>
      </c>
      <c r="H84" t="s">
        <v>17</v>
      </c>
    </row>
    <row r="85" spans="1:8" x14ac:dyDescent="0.25">
      <c r="A85" t="s">
        <v>175</v>
      </c>
      <c r="B85" t="s">
        <v>14</v>
      </c>
      <c r="C85" t="s">
        <v>29</v>
      </c>
      <c r="D85" t="s">
        <v>138</v>
      </c>
      <c r="E85" t="s">
        <v>176</v>
      </c>
      <c r="F85" t="s">
        <v>177</v>
      </c>
      <c r="G85">
        <v>75</v>
      </c>
      <c r="H85" t="s">
        <v>17</v>
      </c>
    </row>
    <row r="86" spans="1:8" x14ac:dyDescent="0.25">
      <c r="A86" t="s">
        <v>178</v>
      </c>
      <c r="B86" t="s">
        <v>105</v>
      </c>
      <c r="C86" t="s">
        <v>36</v>
      </c>
      <c r="D86" t="s">
        <v>11</v>
      </c>
      <c r="E86" s="2">
        <v>45171</v>
      </c>
      <c r="F86">
        <v>83724</v>
      </c>
      <c r="G86">
        <v>81</v>
      </c>
      <c r="H86" t="s">
        <v>116</v>
      </c>
    </row>
    <row r="87" spans="1:8" x14ac:dyDescent="0.25">
      <c r="A87" t="s">
        <v>179</v>
      </c>
      <c r="B87" t="s">
        <v>28</v>
      </c>
      <c r="C87" t="s">
        <v>54</v>
      </c>
      <c r="D87" t="s">
        <v>76</v>
      </c>
      <c r="E87" s="2">
        <v>44759</v>
      </c>
      <c r="F87">
        <v>98299</v>
      </c>
      <c r="G87">
        <v>61</v>
      </c>
      <c r="H87" t="s">
        <v>51</v>
      </c>
    </row>
    <row r="88" spans="1:8" x14ac:dyDescent="0.25">
      <c r="A88" t="s">
        <v>180</v>
      </c>
      <c r="B88" t="s">
        <v>113</v>
      </c>
      <c r="C88" t="s">
        <v>54</v>
      </c>
      <c r="D88" t="s">
        <v>26</v>
      </c>
      <c r="E88" t="s">
        <v>181</v>
      </c>
      <c r="G88">
        <v>68</v>
      </c>
      <c r="H88" t="s">
        <v>51</v>
      </c>
    </row>
    <row r="89" spans="1:8" x14ac:dyDescent="0.25">
      <c r="A89" t="s">
        <v>182</v>
      </c>
      <c r="B89" t="s">
        <v>24</v>
      </c>
      <c r="C89" t="s">
        <v>32</v>
      </c>
      <c r="D89" t="s">
        <v>84</v>
      </c>
      <c r="E89" t="s">
        <v>183</v>
      </c>
      <c r="F89">
        <v>52287</v>
      </c>
      <c r="G89">
        <v>70</v>
      </c>
      <c r="H89" t="s">
        <v>12</v>
      </c>
    </row>
    <row r="90" spans="1:8" x14ac:dyDescent="0.25">
      <c r="A90" t="s">
        <v>184</v>
      </c>
      <c r="B90" t="s">
        <v>14</v>
      </c>
      <c r="C90" t="s">
        <v>19</v>
      </c>
      <c r="D90" t="s">
        <v>11</v>
      </c>
      <c r="E90" s="2">
        <v>44073</v>
      </c>
      <c r="F90">
        <v>82633</v>
      </c>
      <c r="G90">
        <v>98</v>
      </c>
      <c r="H90" t="s">
        <v>17</v>
      </c>
    </row>
    <row r="91" spans="1:8" x14ac:dyDescent="0.25">
      <c r="A91" t="s">
        <v>185</v>
      </c>
      <c r="B91" t="s">
        <v>105</v>
      </c>
      <c r="C91" t="s">
        <v>135</v>
      </c>
      <c r="D91" t="s">
        <v>37</v>
      </c>
      <c r="E91" s="2">
        <v>44422</v>
      </c>
      <c r="F91">
        <v>46508</v>
      </c>
      <c r="G91">
        <v>34</v>
      </c>
      <c r="H91" t="s">
        <v>45</v>
      </c>
    </row>
    <row r="92" spans="1:8" x14ac:dyDescent="0.25">
      <c r="A92" t="s">
        <v>186</v>
      </c>
      <c r="B92" t="s">
        <v>9</v>
      </c>
      <c r="C92" t="s">
        <v>19</v>
      </c>
      <c r="D92" t="s">
        <v>138</v>
      </c>
      <c r="E92" t="s">
        <v>187</v>
      </c>
      <c r="F92">
        <v>86232</v>
      </c>
      <c r="G92">
        <v>93</v>
      </c>
      <c r="H92" t="s">
        <v>45</v>
      </c>
    </row>
    <row r="93" spans="1:8" x14ac:dyDescent="0.25">
      <c r="A93" t="s">
        <v>188</v>
      </c>
      <c r="B93" t="s">
        <v>53</v>
      </c>
      <c r="C93" t="s">
        <v>64</v>
      </c>
      <c r="D93" t="s">
        <v>84</v>
      </c>
      <c r="E93" t="s">
        <v>189</v>
      </c>
      <c r="F93" t="s">
        <v>190</v>
      </c>
      <c r="G93">
        <v>48</v>
      </c>
      <c r="H93" t="s">
        <v>45</v>
      </c>
    </row>
    <row r="94" spans="1:8" x14ac:dyDescent="0.25">
      <c r="A94" t="s">
        <v>191</v>
      </c>
      <c r="B94" t="s">
        <v>160</v>
      </c>
      <c r="C94" t="s">
        <v>19</v>
      </c>
      <c r="D94" t="s">
        <v>37</v>
      </c>
      <c r="E94" s="2">
        <v>43436</v>
      </c>
      <c r="F94">
        <v>68683</v>
      </c>
      <c r="G94">
        <v>90</v>
      </c>
      <c r="H94" t="s">
        <v>51</v>
      </c>
    </row>
    <row r="95" spans="1:8" x14ac:dyDescent="0.25">
      <c r="A95" t="s">
        <v>192</v>
      </c>
      <c r="B95" t="s">
        <v>28</v>
      </c>
      <c r="C95" t="s">
        <v>60</v>
      </c>
      <c r="D95" t="s">
        <v>26</v>
      </c>
      <c r="E95" s="2">
        <v>43639</v>
      </c>
      <c r="F95">
        <v>83932</v>
      </c>
      <c r="G95">
        <v>57</v>
      </c>
      <c r="H95" t="s">
        <v>22</v>
      </c>
    </row>
    <row r="96" spans="1:8" x14ac:dyDescent="0.25">
      <c r="A96" t="s">
        <v>193</v>
      </c>
      <c r="B96" t="s">
        <v>39</v>
      </c>
      <c r="C96" t="s">
        <v>135</v>
      </c>
      <c r="D96" t="s">
        <v>97</v>
      </c>
      <c r="E96" s="2">
        <v>42304</v>
      </c>
      <c r="F96">
        <v>56073</v>
      </c>
      <c r="G96">
        <v>79</v>
      </c>
      <c r="H96" t="s">
        <v>45</v>
      </c>
    </row>
    <row r="97" spans="1:8" x14ac:dyDescent="0.25">
      <c r="A97" t="s">
        <v>194</v>
      </c>
      <c r="B97" t="s">
        <v>105</v>
      </c>
      <c r="C97" t="s">
        <v>32</v>
      </c>
      <c r="D97" t="s">
        <v>20</v>
      </c>
      <c r="E97" s="2">
        <v>43270</v>
      </c>
      <c r="F97" t="s">
        <v>195</v>
      </c>
      <c r="G97">
        <v>66</v>
      </c>
      <c r="H97" t="s">
        <v>51</v>
      </c>
    </row>
    <row r="98" spans="1:8" x14ac:dyDescent="0.25">
      <c r="A98" t="s">
        <v>196</v>
      </c>
      <c r="B98" t="s">
        <v>28</v>
      </c>
      <c r="C98" t="s">
        <v>47</v>
      </c>
      <c r="D98" t="s">
        <v>165</v>
      </c>
      <c r="E98" s="2">
        <v>43112</v>
      </c>
      <c r="F98">
        <v>67414</v>
      </c>
      <c r="G98">
        <v>84</v>
      </c>
      <c r="H98" t="s">
        <v>30</v>
      </c>
    </row>
    <row r="99" spans="1:8" x14ac:dyDescent="0.25">
      <c r="A99" t="s">
        <v>197</v>
      </c>
      <c r="B99" t="s">
        <v>160</v>
      </c>
      <c r="C99" t="s">
        <v>19</v>
      </c>
      <c r="D99" t="s">
        <v>44</v>
      </c>
      <c r="E99" s="2">
        <v>42008</v>
      </c>
      <c r="F99" t="s">
        <v>198</v>
      </c>
      <c r="G99">
        <v>61</v>
      </c>
      <c r="H99" t="s">
        <v>51</v>
      </c>
    </row>
    <row r="100" spans="1:8" x14ac:dyDescent="0.25">
      <c r="A100" t="s">
        <v>199</v>
      </c>
      <c r="C100" t="s">
        <v>29</v>
      </c>
      <c r="D100" t="s">
        <v>44</v>
      </c>
      <c r="E100" s="2">
        <v>43439</v>
      </c>
      <c r="F100">
        <v>80140</v>
      </c>
      <c r="G100">
        <v>58</v>
      </c>
      <c r="H100" t="s">
        <v>45</v>
      </c>
    </row>
    <row r="101" spans="1:8" x14ac:dyDescent="0.25">
      <c r="A101" t="s">
        <v>200</v>
      </c>
      <c r="B101" t="s">
        <v>24</v>
      </c>
      <c r="C101" t="s">
        <v>32</v>
      </c>
      <c r="D101" t="s">
        <v>11</v>
      </c>
      <c r="E101" s="2">
        <v>44482</v>
      </c>
      <c r="F101">
        <v>73087</v>
      </c>
      <c r="G101">
        <v>69</v>
      </c>
      <c r="H101" t="s">
        <v>51</v>
      </c>
    </row>
    <row r="102" spans="1:8" x14ac:dyDescent="0.25">
      <c r="A102" t="s">
        <v>201</v>
      </c>
      <c r="B102" t="s">
        <v>53</v>
      </c>
      <c r="C102" t="s">
        <v>32</v>
      </c>
      <c r="D102" t="s">
        <v>79</v>
      </c>
      <c r="E102" s="2">
        <v>44081</v>
      </c>
      <c r="F102">
        <v>95292</v>
      </c>
      <c r="G102">
        <v>34</v>
      </c>
      <c r="H102" t="s">
        <v>12</v>
      </c>
    </row>
    <row r="103" spans="1:8" x14ac:dyDescent="0.25">
      <c r="A103" t="s">
        <v>202</v>
      </c>
      <c r="B103" t="s">
        <v>24</v>
      </c>
      <c r="C103" t="s">
        <v>60</v>
      </c>
      <c r="D103" t="s">
        <v>20</v>
      </c>
      <c r="E103" t="s">
        <v>203</v>
      </c>
      <c r="G103">
        <v>33</v>
      </c>
      <c r="H103" t="s">
        <v>12</v>
      </c>
    </row>
    <row r="104" spans="1:8" x14ac:dyDescent="0.25">
      <c r="A104" t="s">
        <v>204</v>
      </c>
      <c r="B104" t="s">
        <v>53</v>
      </c>
      <c r="C104" t="s">
        <v>69</v>
      </c>
      <c r="D104" t="s">
        <v>16</v>
      </c>
      <c r="E104" t="s">
        <v>205</v>
      </c>
      <c r="F104">
        <v>101750</v>
      </c>
      <c r="G104">
        <v>84</v>
      </c>
      <c r="H104" t="s">
        <v>108</v>
      </c>
    </row>
    <row r="105" spans="1:8" x14ac:dyDescent="0.25">
      <c r="A105" t="s">
        <v>206</v>
      </c>
      <c r="B105" t="s">
        <v>105</v>
      </c>
      <c r="C105" t="s">
        <v>19</v>
      </c>
      <c r="D105" t="s">
        <v>55</v>
      </c>
      <c r="E105" t="s">
        <v>207</v>
      </c>
      <c r="F105">
        <v>82992</v>
      </c>
      <c r="G105">
        <v>79</v>
      </c>
      <c r="H105" t="s">
        <v>51</v>
      </c>
    </row>
    <row r="106" spans="1:8" x14ac:dyDescent="0.25">
      <c r="A106" t="s">
        <v>208</v>
      </c>
      <c r="B106" t="s">
        <v>160</v>
      </c>
      <c r="C106" t="s">
        <v>64</v>
      </c>
      <c r="D106" t="s">
        <v>11</v>
      </c>
      <c r="E106" s="2">
        <v>45055</v>
      </c>
      <c r="F106" t="s">
        <v>209</v>
      </c>
      <c r="G106">
        <v>51</v>
      </c>
      <c r="H106" t="s">
        <v>12</v>
      </c>
    </row>
    <row r="107" spans="1:8" x14ac:dyDescent="0.25">
      <c r="A107" t="s">
        <v>210</v>
      </c>
      <c r="B107" t="s">
        <v>24</v>
      </c>
      <c r="C107" t="s">
        <v>29</v>
      </c>
      <c r="D107" t="s">
        <v>37</v>
      </c>
      <c r="E107" s="2">
        <v>43122</v>
      </c>
      <c r="F107">
        <v>89060</v>
      </c>
      <c r="G107">
        <v>58</v>
      </c>
      <c r="H107" t="s">
        <v>12</v>
      </c>
    </row>
    <row r="108" spans="1:8" x14ac:dyDescent="0.25">
      <c r="A108" t="s">
        <v>211</v>
      </c>
      <c r="B108" t="s">
        <v>66</v>
      </c>
      <c r="C108" t="s">
        <v>19</v>
      </c>
      <c r="D108" t="s">
        <v>11</v>
      </c>
      <c r="E108" s="2">
        <v>43879</v>
      </c>
      <c r="F108">
        <v>53786</v>
      </c>
      <c r="G108">
        <v>98</v>
      </c>
      <c r="H108" t="s">
        <v>45</v>
      </c>
    </row>
    <row r="109" spans="1:8" x14ac:dyDescent="0.25">
      <c r="A109" t="s">
        <v>212</v>
      </c>
      <c r="B109" t="s">
        <v>9</v>
      </c>
      <c r="C109" t="s">
        <v>32</v>
      </c>
      <c r="D109" t="s">
        <v>33</v>
      </c>
      <c r="E109" t="s">
        <v>213</v>
      </c>
      <c r="F109">
        <v>81167</v>
      </c>
      <c r="H109" t="s">
        <v>45</v>
      </c>
    </row>
    <row r="110" spans="1:8" x14ac:dyDescent="0.25">
      <c r="A110" t="s">
        <v>214</v>
      </c>
      <c r="B110" t="s">
        <v>160</v>
      </c>
      <c r="C110" t="s">
        <v>54</v>
      </c>
      <c r="D110" t="s">
        <v>16</v>
      </c>
      <c r="E110" s="2">
        <v>44349</v>
      </c>
      <c r="F110">
        <v>66688</v>
      </c>
      <c r="G110">
        <v>40</v>
      </c>
      <c r="H110" t="s">
        <v>108</v>
      </c>
    </row>
    <row r="111" spans="1:8" x14ac:dyDescent="0.25">
      <c r="A111" t="s">
        <v>215</v>
      </c>
      <c r="B111" t="s">
        <v>66</v>
      </c>
      <c r="C111" t="s">
        <v>60</v>
      </c>
      <c r="D111" t="s">
        <v>11</v>
      </c>
      <c r="E111" s="2">
        <v>44394</v>
      </c>
      <c r="F111">
        <v>91672</v>
      </c>
      <c r="G111">
        <v>88</v>
      </c>
      <c r="H111" t="s">
        <v>17</v>
      </c>
    </row>
    <row r="112" spans="1:8" x14ac:dyDescent="0.25">
      <c r="A112" t="s">
        <v>216</v>
      </c>
      <c r="B112" t="s">
        <v>39</v>
      </c>
      <c r="C112" t="s">
        <v>19</v>
      </c>
      <c r="D112" t="s">
        <v>157</v>
      </c>
      <c r="E112" t="s">
        <v>217</v>
      </c>
      <c r="F112" t="s">
        <v>218</v>
      </c>
      <c r="G112">
        <v>77</v>
      </c>
      <c r="H112" t="s">
        <v>12</v>
      </c>
    </row>
    <row r="113" spans="1:8" x14ac:dyDescent="0.25">
      <c r="A113" t="s">
        <v>219</v>
      </c>
      <c r="B113" t="s">
        <v>94</v>
      </c>
      <c r="C113" t="s">
        <v>47</v>
      </c>
      <c r="D113" t="s">
        <v>79</v>
      </c>
      <c r="E113" s="2">
        <v>43513</v>
      </c>
      <c r="F113" t="s">
        <v>220</v>
      </c>
      <c r="G113">
        <v>91</v>
      </c>
      <c r="H113" t="s">
        <v>12</v>
      </c>
    </row>
    <row r="114" spans="1:8" x14ac:dyDescent="0.25">
      <c r="A114" t="s">
        <v>221</v>
      </c>
      <c r="B114" t="s">
        <v>39</v>
      </c>
      <c r="C114" t="s">
        <v>29</v>
      </c>
      <c r="D114" t="s">
        <v>44</v>
      </c>
      <c r="E114" s="2">
        <v>42625</v>
      </c>
      <c r="F114">
        <v>114681</v>
      </c>
      <c r="G114">
        <v>36</v>
      </c>
      <c r="H114" t="s">
        <v>17</v>
      </c>
    </row>
    <row r="115" spans="1:8" x14ac:dyDescent="0.25">
      <c r="A115" t="s">
        <v>222</v>
      </c>
      <c r="B115" t="s">
        <v>28</v>
      </c>
      <c r="C115" t="s">
        <v>60</v>
      </c>
      <c r="D115" t="s">
        <v>37</v>
      </c>
      <c r="E115" t="s">
        <v>223</v>
      </c>
      <c r="F115" t="s">
        <v>224</v>
      </c>
      <c r="G115">
        <v>72</v>
      </c>
      <c r="H115" t="s">
        <v>45</v>
      </c>
    </row>
    <row r="116" spans="1:8" x14ac:dyDescent="0.25">
      <c r="A116" t="s">
        <v>225</v>
      </c>
      <c r="B116" t="s">
        <v>71</v>
      </c>
      <c r="C116" t="s">
        <v>10</v>
      </c>
      <c r="D116" t="s">
        <v>16</v>
      </c>
      <c r="E116" s="2">
        <v>43996</v>
      </c>
      <c r="F116" t="s">
        <v>226</v>
      </c>
      <c r="G116">
        <v>87</v>
      </c>
      <c r="H116" t="s">
        <v>12</v>
      </c>
    </row>
    <row r="117" spans="1:8" x14ac:dyDescent="0.25">
      <c r="A117" t="s">
        <v>227</v>
      </c>
      <c r="B117" t="s">
        <v>59</v>
      </c>
      <c r="C117" t="s">
        <v>25</v>
      </c>
      <c r="D117" t="s">
        <v>20</v>
      </c>
      <c r="E117" t="s">
        <v>228</v>
      </c>
      <c r="F117">
        <v>118008</v>
      </c>
      <c r="G117">
        <v>71</v>
      </c>
      <c r="H117" t="s">
        <v>12</v>
      </c>
    </row>
    <row r="118" spans="1:8" x14ac:dyDescent="0.25">
      <c r="A118" t="s">
        <v>229</v>
      </c>
      <c r="B118" t="s">
        <v>28</v>
      </c>
      <c r="C118" t="s">
        <v>47</v>
      </c>
      <c r="D118" t="s">
        <v>11</v>
      </c>
      <c r="E118" t="s">
        <v>230</v>
      </c>
      <c r="F118">
        <v>74370</v>
      </c>
      <c r="G118">
        <v>82</v>
      </c>
      <c r="H118" t="s">
        <v>51</v>
      </c>
    </row>
    <row r="119" spans="1:8" x14ac:dyDescent="0.25">
      <c r="A119" t="s">
        <v>231</v>
      </c>
      <c r="B119" t="s">
        <v>113</v>
      </c>
      <c r="C119" t="s">
        <v>41</v>
      </c>
      <c r="D119" t="s">
        <v>20</v>
      </c>
      <c r="E119" s="2">
        <v>44674</v>
      </c>
      <c r="F119">
        <v>77819</v>
      </c>
      <c r="G119">
        <v>79</v>
      </c>
      <c r="H119" t="s">
        <v>17</v>
      </c>
    </row>
    <row r="120" spans="1:8" x14ac:dyDescent="0.25">
      <c r="A120" t="s">
        <v>232</v>
      </c>
      <c r="B120" t="s">
        <v>53</v>
      </c>
      <c r="C120" t="s">
        <v>47</v>
      </c>
      <c r="D120" t="s">
        <v>61</v>
      </c>
      <c r="E120" t="s">
        <v>233</v>
      </c>
      <c r="F120">
        <v>48748</v>
      </c>
      <c r="G120">
        <v>83</v>
      </c>
      <c r="H120" t="s">
        <v>51</v>
      </c>
    </row>
    <row r="121" spans="1:8" x14ac:dyDescent="0.25">
      <c r="A121" t="s">
        <v>234</v>
      </c>
      <c r="B121" t="s">
        <v>66</v>
      </c>
      <c r="C121" t="s">
        <v>41</v>
      </c>
      <c r="D121" t="s">
        <v>33</v>
      </c>
      <c r="E121" s="2">
        <v>43971</v>
      </c>
      <c r="F121">
        <v>101997</v>
      </c>
      <c r="G121">
        <v>38</v>
      </c>
      <c r="H121" t="s">
        <v>116</v>
      </c>
    </row>
    <row r="122" spans="1:8" x14ac:dyDescent="0.25">
      <c r="A122" t="s">
        <v>235</v>
      </c>
      <c r="B122" t="s">
        <v>94</v>
      </c>
      <c r="C122" t="s">
        <v>41</v>
      </c>
      <c r="D122" t="s">
        <v>97</v>
      </c>
      <c r="E122" t="s">
        <v>236</v>
      </c>
      <c r="F122">
        <v>115260</v>
      </c>
      <c r="G122">
        <v>77</v>
      </c>
      <c r="H122" t="s">
        <v>51</v>
      </c>
    </row>
    <row r="123" spans="1:8" x14ac:dyDescent="0.25">
      <c r="A123" t="s">
        <v>237</v>
      </c>
      <c r="B123" t="s">
        <v>94</v>
      </c>
      <c r="C123" t="s">
        <v>36</v>
      </c>
      <c r="D123" t="s">
        <v>44</v>
      </c>
      <c r="E123" s="2">
        <v>44500</v>
      </c>
      <c r="G123">
        <v>49</v>
      </c>
      <c r="H123" t="s">
        <v>12</v>
      </c>
    </row>
    <row r="124" spans="1:8" x14ac:dyDescent="0.25">
      <c r="A124" t="s">
        <v>238</v>
      </c>
      <c r="B124" t="s">
        <v>105</v>
      </c>
      <c r="C124" t="s">
        <v>10</v>
      </c>
      <c r="D124" t="s">
        <v>20</v>
      </c>
      <c r="E124" t="s">
        <v>239</v>
      </c>
      <c r="G124">
        <v>69</v>
      </c>
      <c r="H124" t="s">
        <v>108</v>
      </c>
    </row>
    <row r="125" spans="1:8" x14ac:dyDescent="0.25">
      <c r="A125" t="s">
        <v>240</v>
      </c>
      <c r="B125" t="s">
        <v>59</v>
      </c>
      <c r="C125" t="s">
        <v>54</v>
      </c>
      <c r="D125" t="s">
        <v>44</v>
      </c>
      <c r="E125" s="2">
        <v>42956</v>
      </c>
      <c r="G125">
        <v>76</v>
      </c>
      <c r="H125" t="s">
        <v>12</v>
      </c>
    </row>
    <row r="126" spans="1:8" x14ac:dyDescent="0.25">
      <c r="A126" t="s">
        <v>241</v>
      </c>
      <c r="B126" t="s">
        <v>105</v>
      </c>
      <c r="C126" t="s">
        <v>41</v>
      </c>
      <c r="D126" t="s">
        <v>165</v>
      </c>
      <c r="E126" s="2">
        <v>44930</v>
      </c>
      <c r="F126">
        <v>60623</v>
      </c>
      <c r="G126">
        <v>78</v>
      </c>
      <c r="H126" t="s">
        <v>45</v>
      </c>
    </row>
    <row r="127" spans="1:8" x14ac:dyDescent="0.25">
      <c r="A127" t="s">
        <v>242</v>
      </c>
      <c r="B127" t="s">
        <v>66</v>
      </c>
      <c r="C127" t="s">
        <v>32</v>
      </c>
      <c r="D127" t="s">
        <v>157</v>
      </c>
      <c r="E127" t="s">
        <v>243</v>
      </c>
      <c r="F127" t="s">
        <v>244</v>
      </c>
      <c r="G127">
        <v>93</v>
      </c>
      <c r="H127" t="s">
        <v>12</v>
      </c>
    </row>
    <row r="128" spans="1:8" x14ac:dyDescent="0.25">
      <c r="A128" t="s">
        <v>245</v>
      </c>
      <c r="B128" t="s">
        <v>43</v>
      </c>
      <c r="C128" t="s">
        <v>36</v>
      </c>
      <c r="D128" t="s">
        <v>16</v>
      </c>
      <c r="E128" s="2">
        <v>44653</v>
      </c>
      <c r="F128">
        <v>88155</v>
      </c>
      <c r="G128">
        <v>68</v>
      </c>
      <c r="H128" t="s">
        <v>45</v>
      </c>
    </row>
    <row r="129" spans="1:8" x14ac:dyDescent="0.25">
      <c r="A129" t="s">
        <v>246</v>
      </c>
      <c r="B129" t="s">
        <v>160</v>
      </c>
      <c r="C129" t="s">
        <v>60</v>
      </c>
      <c r="D129" t="s">
        <v>16</v>
      </c>
      <c r="E129" t="s">
        <v>247</v>
      </c>
      <c r="F129">
        <v>107903</v>
      </c>
      <c r="G129">
        <v>42</v>
      </c>
      <c r="H129" t="s">
        <v>17</v>
      </c>
    </row>
    <row r="130" spans="1:8" x14ac:dyDescent="0.25">
      <c r="A130" t="s">
        <v>248</v>
      </c>
      <c r="B130" t="s">
        <v>160</v>
      </c>
      <c r="C130" t="s">
        <v>54</v>
      </c>
      <c r="D130" t="s">
        <v>11</v>
      </c>
      <c r="E130" s="2">
        <v>43305</v>
      </c>
      <c r="F130">
        <v>62818</v>
      </c>
      <c r="G130">
        <v>34</v>
      </c>
      <c r="H130" t="s">
        <v>17</v>
      </c>
    </row>
    <row r="131" spans="1:8" x14ac:dyDescent="0.25">
      <c r="A131" t="s">
        <v>249</v>
      </c>
      <c r="B131" t="s">
        <v>113</v>
      </c>
      <c r="C131" t="s">
        <v>54</v>
      </c>
      <c r="D131" t="s">
        <v>157</v>
      </c>
      <c r="E131" s="2">
        <v>43301</v>
      </c>
      <c r="F131">
        <v>85151</v>
      </c>
      <c r="G131">
        <v>35</v>
      </c>
      <c r="H131" t="s">
        <v>17</v>
      </c>
    </row>
    <row r="132" spans="1:8" x14ac:dyDescent="0.25">
      <c r="A132" t="s">
        <v>250</v>
      </c>
      <c r="B132" t="s">
        <v>53</v>
      </c>
      <c r="C132" t="s">
        <v>64</v>
      </c>
      <c r="D132" t="s">
        <v>76</v>
      </c>
      <c r="E132" t="s">
        <v>251</v>
      </c>
      <c r="F132">
        <v>46390</v>
      </c>
      <c r="G132">
        <v>95</v>
      </c>
      <c r="H132" t="s">
        <v>51</v>
      </c>
    </row>
    <row r="133" spans="1:8" x14ac:dyDescent="0.25">
      <c r="A133" t="s">
        <v>174</v>
      </c>
      <c r="B133" t="s">
        <v>39</v>
      </c>
      <c r="C133" t="s">
        <v>133</v>
      </c>
      <c r="D133" t="s">
        <v>37</v>
      </c>
      <c r="E133" s="2">
        <v>42330</v>
      </c>
      <c r="F133">
        <v>86480</v>
      </c>
      <c r="H133" t="s">
        <v>17</v>
      </c>
    </row>
    <row r="134" spans="1:8" x14ac:dyDescent="0.25">
      <c r="A134" t="s">
        <v>252</v>
      </c>
      <c r="B134" t="s">
        <v>24</v>
      </c>
      <c r="C134" t="s">
        <v>25</v>
      </c>
      <c r="D134" t="s">
        <v>157</v>
      </c>
      <c r="E134" s="2">
        <v>44643</v>
      </c>
      <c r="F134">
        <v>111920</v>
      </c>
      <c r="G134">
        <v>90</v>
      </c>
      <c r="H134" t="s">
        <v>22</v>
      </c>
    </row>
    <row r="135" spans="1:8" x14ac:dyDescent="0.25">
      <c r="A135" t="s">
        <v>253</v>
      </c>
      <c r="B135" t="s">
        <v>113</v>
      </c>
      <c r="C135" t="s">
        <v>135</v>
      </c>
      <c r="D135" t="s">
        <v>138</v>
      </c>
      <c r="E135" t="s">
        <v>254</v>
      </c>
      <c r="F135" t="s">
        <v>255</v>
      </c>
      <c r="G135">
        <v>42</v>
      </c>
      <c r="H135" t="s">
        <v>17</v>
      </c>
    </row>
    <row r="136" spans="1:8" x14ac:dyDescent="0.25">
      <c r="A136" t="s">
        <v>256</v>
      </c>
      <c r="B136" t="s">
        <v>94</v>
      </c>
      <c r="C136" t="s">
        <v>29</v>
      </c>
      <c r="D136" t="s">
        <v>44</v>
      </c>
      <c r="E136" t="s">
        <v>257</v>
      </c>
      <c r="F136" t="s">
        <v>258</v>
      </c>
      <c r="G136">
        <v>88</v>
      </c>
      <c r="H136" t="s">
        <v>116</v>
      </c>
    </row>
    <row r="137" spans="1:8" x14ac:dyDescent="0.25">
      <c r="A137" t="s">
        <v>259</v>
      </c>
      <c r="B137" t="s">
        <v>105</v>
      </c>
      <c r="C137" t="s">
        <v>15</v>
      </c>
      <c r="D137" t="s">
        <v>37</v>
      </c>
      <c r="E137" t="s">
        <v>260</v>
      </c>
      <c r="F137">
        <v>108395</v>
      </c>
      <c r="G137">
        <v>78</v>
      </c>
      <c r="H137" t="s">
        <v>30</v>
      </c>
    </row>
    <row r="138" spans="1:8" x14ac:dyDescent="0.25">
      <c r="A138" t="s">
        <v>261</v>
      </c>
      <c r="B138" t="s">
        <v>105</v>
      </c>
      <c r="C138" t="s">
        <v>32</v>
      </c>
      <c r="D138" t="s">
        <v>26</v>
      </c>
      <c r="E138" s="2">
        <v>43091</v>
      </c>
      <c r="F138">
        <v>88005</v>
      </c>
      <c r="G138">
        <v>69</v>
      </c>
      <c r="H138" t="s">
        <v>51</v>
      </c>
    </row>
    <row r="139" spans="1:8" x14ac:dyDescent="0.25">
      <c r="A139" t="s">
        <v>86</v>
      </c>
      <c r="B139" t="s">
        <v>43</v>
      </c>
      <c r="C139" t="s">
        <v>36</v>
      </c>
      <c r="D139" t="s">
        <v>87</v>
      </c>
      <c r="E139" t="s">
        <v>88</v>
      </c>
      <c r="F139">
        <v>85312</v>
      </c>
      <c r="G139">
        <v>66</v>
      </c>
      <c r="H139" t="s">
        <v>12</v>
      </c>
    </row>
    <row r="140" spans="1:8" x14ac:dyDescent="0.25">
      <c r="A140" t="s">
        <v>262</v>
      </c>
      <c r="B140" t="s">
        <v>53</v>
      </c>
      <c r="C140" t="s">
        <v>133</v>
      </c>
      <c r="D140" t="s">
        <v>61</v>
      </c>
      <c r="E140" t="s">
        <v>263</v>
      </c>
      <c r="F140">
        <v>83007</v>
      </c>
      <c r="G140">
        <v>82</v>
      </c>
      <c r="H140" t="s">
        <v>45</v>
      </c>
    </row>
    <row r="141" spans="1:8" x14ac:dyDescent="0.25">
      <c r="A141" t="s">
        <v>264</v>
      </c>
      <c r="B141" t="s">
        <v>113</v>
      </c>
      <c r="C141" t="s">
        <v>64</v>
      </c>
      <c r="D141" t="s">
        <v>11</v>
      </c>
      <c r="E141" s="2">
        <v>43360</v>
      </c>
      <c r="F141" t="s">
        <v>265</v>
      </c>
      <c r="G141">
        <v>68</v>
      </c>
      <c r="H141" t="s">
        <v>17</v>
      </c>
    </row>
    <row r="142" spans="1:8" x14ac:dyDescent="0.25">
      <c r="A142" t="s">
        <v>266</v>
      </c>
      <c r="B142" t="s">
        <v>66</v>
      </c>
      <c r="C142" t="s">
        <v>36</v>
      </c>
      <c r="D142" t="s">
        <v>48</v>
      </c>
      <c r="E142" s="2">
        <v>44375</v>
      </c>
      <c r="G142">
        <v>52</v>
      </c>
      <c r="H142" t="s">
        <v>45</v>
      </c>
    </row>
    <row r="143" spans="1:8" x14ac:dyDescent="0.25">
      <c r="A143" t="s">
        <v>267</v>
      </c>
      <c r="B143" t="s">
        <v>14</v>
      </c>
      <c r="C143" t="s">
        <v>32</v>
      </c>
      <c r="D143" t="s">
        <v>33</v>
      </c>
      <c r="E143" t="s">
        <v>268</v>
      </c>
      <c r="F143">
        <v>50399</v>
      </c>
      <c r="G143">
        <v>92</v>
      </c>
      <c r="H143" t="s">
        <v>108</v>
      </c>
    </row>
    <row r="144" spans="1:8" x14ac:dyDescent="0.25">
      <c r="A144" t="s">
        <v>269</v>
      </c>
      <c r="B144" t="s">
        <v>14</v>
      </c>
      <c r="C144" t="s">
        <v>54</v>
      </c>
      <c r="D144" t="s">
        <v>26</v>
      </c>
      <c r="E144" t="s">
        <v>270</v>
      </c>
      <c r="G144">
        <v>62</v>
      </c>
      <c r="H144" t="s">
        <v>17</v>
      </c>
    </row>
    <row r="145" spans="1:8" x14ac:dyDescent="0.25">
      <c r="A145" t="s">
        <v>271</v>
      </c>
      <c r="B145" t="s">
        <v>24</v>
      </c>
      <c r="C145" t="s">
        <v>15</v>
      </c>
      <c r="D145" t="s">
        <v>33</v>
      </c>
      <c r="E145" s="2">
        <v>43257</v>
      </c>
      <c r="F145">
        <v>52720</v>
      </c>
      <c r="G145">
        <v>68</v>
      </c>
      <c r="H145" t="s">
        <v>17</v>
      </c>
    </row>
    <row r="146" spans="1:8" x14ac:dyDescent="0.25">
      <c r="A146" t="s">
        <v>272</v>
      </c>
      <c r="B146" t="s">
        <v>94</v>
      </c>
      <c r="C146" t="s">
        <v>19</v>
      </c>
      <c r="D146" t="s">
        <v>33</v>
      </c>
      <c r="E146" s="2">
        <v>42932</v>
      </c>
      <c r="F146">
        <v>65065</v>
      </c>
      <c r="G146">
        <v>98</v>
      </c>
      <c r="H146" t="s">
        <v>45</v>
      </c>
    </row>
    <row r="147" spans="1:8" x14ac:dyDescent="0.25">
      <c r="A147" t="s">
        <v>273</v>
      </c>
      <c r="B147" t="s">
        <v>105</v>
      </c>
      <c r="C147" t="s">
        <v>15</v>
      </c>
      <c r="D147" t="s">
        <v>44</v>
      </c>
      <c r="E147" s="2">
        <v>42175</v>
      </c>
      <c r="G147">
        <v>94</v>
      </c>
      <c r="H147" t="s">
        <v>116</v>
      </c>
    </row>
    <row r="148" spans="1:8" x14ac:dyDescent="0.25">
      <c r="A148" t="s">
        <v>274</v>
      </c>
      <c r="B148" t="s">
        <v>105</v>
      </c>
      <c r="C148" t="s">
        <v>15</v>
      </c>
      <c r="D148" t="s">
        <v>37</v>
      </c>
      <c r="E148" s="2">
        <v>43609</v>
      </c>
      <c r="F148" t="s">
        <v>275</v>
      </c>
      <c r="G148">
        <v>57</v>
      </c>
      <c r="H148" t="s">
        <v>116</v>
      </c>
    </row>
    <row r="149" spans="1:8" x14ac:dyDescent="0.25">
      <c r="A149" t="s">
        <v>276</v>
      </c>
      <c r="B149" t="s">
        <v>24</v>
      </c>
      <c r="C149" t="s">
        <v>64</v>
      </c>
      <c r="D149" t="s">
        <v>84</v>
      </c>
      <c r="E149" s="2">
        <v>43887</v>
      </c>
      <c r="G149">
        <v>96</v>
      </c>
      <c r="H149" t="s">
        <v>12</v>
      </c>
    </row>
    <row r="150" spans="1:8" x14ac:dyDescent="0.25">
      <c r="A150" t="s">
        <v>277</v>
      </c>
      <c r="B150" t="s">
        <v>14</v>
      </c>
      <c r="C150" t="s">
        <v>64</v>
      </c>
      <c r="D150" t="s">
        <v>97</v>
      </c>
      <c r="E150" s="2">
        <v>44991</v>
      </c>
      <c r="F150">
        <v>106896</v>
      </c>
      <c r="G150">
        <v>52</v>
      </c>
      <c r="H150" t="s">
        <v>22</v>
      </c>
    </row>
    <row r="151" spans="1:8" x14ac:dyDescent="0.25">
      <c r="A151" t="s">
        <v>278</v>
      </c>
      <c r="C151" t="s">
        <v>60</v>
      </c>
      <c r="D151" t="s">
        <v>20</v>
      </c>
      <c r="E151" t="s">
        <v>279</v>
      </c>
      <c r="F151">
        <v>112887</v>
      </c>
      <c r="G151">
        <v>59</v>
      </c>
      <c r="H151" t="s">
        <v>51</v>
      </c>
    </row>
    <row r="152" spans="1:8" x14ac:dyDescent="0.25">
      <c r="A152" t="s">
        <v>215</v>
      </c>
      <c r="B152" t="s">
        <v>66</v>
      </c>
      <c r="C152" t="s">
        <v>60</v>
      </c>
      <c r="D152" t="s">
        <v>11</v>
      </c>
      <c r="E152" s="2">
        <v>44394</v>
      </c>
      <c r="F152">
        <v>91672</v>
      </c>
      <c r="G152">
        <v>88</v>
      </c>
      <c r="H152" t="s">
        <v>17</v>
      </c>
    </row>
    <row r="153" spans="1:8" x14ac:dyDescent="0.25">
      <c r="A153" t="s">
        <v>280</v>
      </c>
      <c r="B153" t="s">
        <v>160</v>
      </c>
      <c r="C153" t="s">
        <v>41</v>
      </c>
      <c r="D153" t="s">
        <v>26</v>
      </c>
      <c r="E153" s="2">
        <v>45037</v>
      </c>
      <c r="F153">
        <v>85457</v>
      </c>
      <c r="G153">
        <v>79</v>
      </c>
      <c r="H153" t="s">
        <v>17</v>
      </c>
    </row>
    <row r="154" spans="1:8" x14ac:dyDescent="0.25">
      <c r="A154" t="s">
        <v>281</v>
      </c>
      <c r="B154" t="s">
        <v>105</v>
      </c>
      <c r="C154" t="s">
        <v>47</v>
      </c>
      <c r="D154" t="s">
        <v>48</v>
      </c>
      <c r="E154" s="2">
        <v>42519</v>
      </c>
      <c r="F154">
        <v>62798</v>
      </c>
      <c r="G154">
        <v>30</v>
      </c>
      <c r="H154" t="s">
        <v>17</v>
      </c>
    </row>
    <row r="155" spans="1:8" x14ac:dyDescent="0.25">
      <c r="A155" t="s">
        <v>282</v>
      </c>
      <c r="B155" t="s">
        <v>9</v>
      </c>
      <c r="C155" t="s">
        <v>25</v>
      </c>
      <c r="D155" t="s">
        <v>33</v>
      </c>
      <c r="E155" s="2">
        <v>44711</v>
      </c>
      <c r="F155">
        <v>47794</v>
      </c>
      <c r="G155">
        <v>73</v>
      </c>
      <c r="H155" t="s">
        <v>22</v>
      </c>
    </row>
    <row r="156" spans="1:8" x14ac:dyDescent="0.25">
      <c r="A156" t="s">
        <v>89</v>
      </c>
      <c r="B156" t="s">
        <v>24</v>
      </c>
      <c r="C156" t="s">
        <v>41</v>
      </c>
      <c r="D156" t="s">
        <v>44</v>
      </c>
      <c r="E156" s="2">
        <v>42202</v>
      </c>
      <c r="G156">
        <v>68</v>
      </c>
      <c r="H156" t="s">
        <v>12</v>
      </c>
    </row>
    <row r="157" spans="1:8" x14ac:dyDescent="0.25">
      <c r="A157" t="s">
        <v>283</v>
      </c>
      <c r="B157" t="s">
        <v>66</v>
      </c>
      <c r="C157" t="s">
        <v>41</v>
      </c>
      <c r="D157" t="s">
        <v>16</v>
      </c>
      <c r="E157" t="s">
        <v>284</v>
      </c>
      <c r="F157">
        <v>93094</v>
      </c>
      <c r="G157">
        <v>74</v>
      </c>
      <c r="H157" t="s">
        <v>12</v>
      </c>
    </row>
    <row r="158" spans="1:8" x14ac:dyDescent="0.25">
      <c r="A158" t="s">
        <v>285</v>
      </c>
      <c r="B158" t="s">
        <v>71</v>
      </c>
      <c r="C158" t="s">
        <v>10</v>
      </c>
      <c r="D158" t="s">
        <v>11</v>
      </c>
      <c r="E158" s="2">
        <v>44848</v>
      </c>
      <c r="F158" t="s">
        <v>286</v>
      </c>
      <c r="G158">
        <v>91</v>
      </c>
      <c r="H158"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x14ac:dyDescent="0.25"/>
  <sheetData>
    <row r="1" spans="1:2" x14ac:dyDescent="0.25">
      <c r="A1" s="1" t="s">
        <v>287</v>
      </c>
      <c r="B1" s="1" t="s">
        <v>288</v>
      </c>
    </row>
    <row r="2" spans="1:2" x14ac:dyDescent="0.25">
      <c r="A2" t="s">
        <v>97</v>
      </c>
      <c r="B2" t="s">
        <v>289</v>
      </c>
    </row>
    <row r="3" spans="1:2" x14ac:dyDescent="0.25">
      <c r="A3" t="s">
        <v>11</v>
      </c>
      <c r="B3" t="s">
        <v>290</v>
      </c>
    </row>
    <row r="4" spans="1:2" x14ac:dyDescent="0.25">
      <c r="A4" t="s">
        <v>26</v>
      </c>
      <c r="B4" t="s">
        <v>291</v>
      </c>
    </row>
    <row r="5" spans="1:2" x14ac:dyDescent="0.25">
      <c r="A5" t="s">
        <v>16</v>
      </c>
      <c r="B5" t="s">
        <v>292</v>
      </c>
    </row>
    <row r="6" spans="1:2" x14ac:dyDescent="0.25">
      <c r="A6" t="s">
        <v>44</v>
      </c>
      <c r="B6" t="s">
        <v>293</v>
      </c>
    </row>
    <row r="7" spans="1:2" x14ac:dyDescent="0.25">
      <c r="A7" t="s">
        <v>33</v>
      </c>
      <c r="B7" t="s">
        <v>294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5" x14ac:dyDescent="0.25"/>
  <cols>
    <col min="1" max="1" width="10.42578125" bestFit="1" customWidth="1"/>
    <col min="2" max="2" width="10.7109375" bestFit="1" customWidth="1"/>
    <col min="3" max="3" width="19.5703125" bestFit="1" customWidth="1"/>
    <col min="4" max="4" width="17.7109375" bestFit="1" customWidth="1"/>
  </cols>
  <sheetData>
    <row r="1" spans="1:4" x14ac:dyDescent="0.25">
      <c r="A1" s="1" t="s">
        <v>295</v>
      </c>
      <c r="B1" s="1" t="s">
        <v>296</v>
      </c>
      <c r="C1" s="1" t="s">
        <v>297</v>
      </c>
      <c r="D1" s="1" t="s">
        <v>298</v>
      </c>
    </row>
    <row r="2" spans="1:4" x14ac:dyDescent="0.25">
      <c r="A2">
        <v>0</v>
      </c>
      <c r="B2">
        <v>49</v>
      </c>
      <c r="C2" t="s">
        <v>299</v>
      </c>
      <c r="D2">
        <v>0</v>
      </c>
    </row>
    <row r="3" spans="1:4" x14ac:dyDescent="0.25">
      <c r="A3">
        <v>50</v>
      </c>
      <c r="B3">
        <v>69</v>
      </c>
      <c r="C3" t="s">
        <v>300</v>
      </c>
      <c r="D3">
        <v>0.02</v>
      </c>
    </row>
    <row r="4" spans="1:4" x14ac:dyDescent="0.25">
      <c r="A4">
        <v>70</v>
      </c>
      <c r="B4">
        <v>84</v>
      </c>
      <c r="C4" t="s">
        <v>301</v>
      </c>
      <c r="D4">
        <v>0.05</v>
      </c>
    </row>
    <row r="5" spans="1:4" x14ac:dyDescent="0.25">
      <c r="A5">
        <v>85</v>
      </c>
      <c r="B5">
        <v>94</v>
      </c>
      <c r="C5" t="s">
        <v>302</v>
      </c>
      <c r="D5">
        <v>0.08</v>
      </c>
    </row>
    <row r="6" spans="1:4" x14ac:dyDescent="0.25">
      <c r="A6">
        <v>95</v>
      </c>
      <c r="B6">
        <v>100</v>
      </c>
      <c r="C6" t="s">
        <v>303</v>
      </c>
      <c r="D6">
        <v>0.12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B603-B61B-4410-BCD0-773A2A8D5880}">
  <dimension ref="A2:I47"/>
  <sheetViews>
    <sheetView zoomScale="70" zoomScaleNormal="70" workbookViewId="0">
      <selection activeCell="H8" sqref="H8"/>
    </sheetView>
  </sheetViews>
  <sheetFormatPr defaultRowHeight="15" x14ac:dyDescent="0.25"/>
  <cols>
    <col min="1" max="1" width="14.140625" bestFit="1" customWidth="1"/>
    <col min="2" max="2" width="21.28515625" bestFit="1" customWidth="1"/>
    <col min="3" max="3" width="13.5703125" bestFit="1" customWidth="1"/>
    <col min="4" max="4" width="15" bestFit="1" customWidth="1"/>
    <col min="5" max="5" width="8" bestFit="1" customWidth="1"/>
    <col min="6" max="6" width="24.85546875" bestFit="1" customWidth="1"/>
    <col min="7" max="7" width="16.7109375" bestFit="1" customWidth="1"/>
    <col min="8" max="8" width="6.7109375" bestFit="1" customWidth="1"/>
    <col min="9" max="9" width="11.5703125" bestFit="1" customWidth="1"/>
    <col min="10" max="151" width="8" bestFit="1" customWidth="1"/>
    <col min="152" max="152" width="11.28515625" bestFit="1" customWidth="1"/>
  </cols>
  <sheetData>
    <row r="2" spans="1:9" x14ac:dyDescent="0.25">
      <c r="A2" s="20" t="s">
        <v>316</v>
      </c>
      <c r="B2" s="20"/>
      <c r="C2" s="20"/>
      <c r="D2" s="20"/>
    </row>
    <row r="3" spans="1:9" x14ac:dyDescent="0.25">
      <c r="A3" s="11" t="s">
        <v>309</v>
      </c>
      <c r="B3" t="s">
        <v>311</v>
      </c>
      <c r="C3" t="s">
        <v>312</v>
      </c>
    </row>
    <row r="4" spans="1:9" x14ac:dyDescent="0.25">
      <c r="A4" s="12" t="s">
        <v>291</v>
      </c>
      <c r="B4" s="21">
        <v>17</v>
      </c>
      <c r="C4" s="5">
        <v>1481950.7899999998</v>
      </c>
    </row>
    <row r="5" spans="1:9" x14ac:dyDescent="0.25">
      <c r="A5" s="12" t="s">
        <v>289</v>
      </c>
      <c r="B5" s="21">
        <v>18</v>
      </c>
      <c r="C5" s="5">
        <v>1539652.93</v>
      </c>
    </row>
    <row r="6" spans="1:9" x14ac:dyDescent="0.25">
      <c r="A6" s="12" t="s">
        <v>290</v>
      </c>
      <c r="B6" s="21">
        <v>36</v>
      </c>
      <c r="C6" s="5">
        <v>2898461.6500000004</v>
      </c>
    </row>
    <row r="7" spans="1:9" x14ac:dyDescent="0.25">
      <c r="A7" s="12" t="s">
        <v>292</v>
      </c>
      <c r="B7" s="21">
        <v>19</v>
      </c>
      <c r="C7" s="5">
        <v>1622750.93</v>
      </c>
      <c r="H7" s="17">
        <f>GETPIVOTDATA("Sum of Salary",$A$3)</f>
        <v>12540589.599999996</v>
      </c>
    </row>
    <row r="8" spans="1:9" x14ac:dyDescent="0.25">
      <c r="A8" s="12" t="s">
        <v>294</v>
      </c>
      <c r="B8" s="21">
        <v>29</v>
      </c>
      <c r="C8" s="5">
        <v>2321447.86</v>
      </c>
    </row>
    <row r="9" spans="1:9" x14ac:dyDescent="0.25">
      <c r="A9" s="12" t="s">
        <v>293</v>
      </c>
      <c r="B9" s="21">
        <v>31</v>
      </c>
      <c r="C9" s="5">
        <v>2676325.4400000004</v>
      </c>
    </row>
    <row r="10" spans="1:9" x14ac:dyDescent="0.25">
      <c r="A10" s="12" t="s">
        <v>310</v>
      </c>
      <c r="B10" s="21">
        <v>150</v>
      </c>
      <c r="C10" s="17">
        <v>12540589.599999996</v>
      </c>
      <c r="D10">
        <f>GETPIVOTDATA("Count of Emp ID",$A$3)</f>
        <v>150</v>
      </c>
      <c r="F10" s="6"/>
    </row>
    <row r="13" spans="1:9" x14ac:dyDescent="0.25">
      <c r="A13" s="20" t="s">
        <v>317</v>
      </c>
      <c r="B13" s="20"/>
      <c r="C13" s="20"/>
      <c r="D13" s="20"/>
      <c r="E13" s="20"/>
    </row>
    <row r="14" spans="1:9" x14ac:dyDescent="0.25">
      <c r="A14" s="11" t="s">
        <v>311</v>
      </c>
      <c r="B14" s="11" t="s">
        <v>318</v>
      </c>
    </row>
    <row r="15" spans="1:9" x14ac:dyDescent="0.25">
      <c r="A15" s="11" t="s">
        <v>309</v>
      </c>
      <c r="B15" t="s">
        <v>319</v>
      </c>
      <c r="C15" t="s">
        <v>320</v>
      </c>
      <c r="D15" t="s">
        <v>310</v>
      </c>
    </row>
    <row r="16" spans="1:9" x14ac:dyDescent="0.25">
      <c r="A16" s="12" t="s">
        <v>291</v>
      </c>
      <c r="B16" s="16">
        <v>0.82352941176470584</v>
      </c>
      <c r="C16" s="16">
        <v>0.17647058823529413</v>
      </c>
      <c r="D16" s="19">
        <v>1</v>
      </c>
      <c r="F16" s="20"/>
      <c r="G16" s="20"/>
      <c r="H16" s="20"/>
      <c r="I16" s="20"/>
    </row>
    <row r="17" spans="1:5" x14ac:dyDescent="0.25">
      <c r="A17" s="12" t="s">
        <v>289</v>
      </c>
      <c r="B17" s="16">
        <v>0.83333333333333337</v>
      </c>
      <c r="C17" s="16">
        <v>0.16666666666666666</v>
      </c>
      <c r="D17" s="19">
        <v>1</v>
      </c>
    </row>
    <row r="18" spans="1:5" x14ac:dyDescent="0.25">
      <c r="A18" s="12" t="s">
        <v>290</v>
      </c>
      <c r="B18" s="16">
        <v>0.77777777777777779</v>
      </c>
      <c r="C18" s="16">
        <v>0.22222222222222221</v>
      </c>
      <c r="D18" s="19">
        <v>1</v>
      </c>
    </row>
    <row r="19" spans="1:5" x14ac:dyDescent="0.25">
      <c r="A19" s="12" t="s">
        <v>292</v>
      </c>
      <c r="B19" s="16">
        <v>0.84210526315789469</v>
      </c>
      <c r="C19" s="16">
        <v>0.15789473684210525</v>
      </c>
      <c r="D19" s="19">
        <v>1</v>
      </c>
    </row>
    <row r="20" spans="1:5" x14ac:dyDescent="0.25">
      <c r="A20" s="12" t="s">
        <v>294</v>
      </c>
      <c r="B20" s="16">
        <v>0.62068965517241381</v>
      </c>
      <c r="C20" s="16">
        <v>0.37931034482758619</v>
      </c>
      <c r="D20" s="19">
        <v>1</v>
      </c>
    </row>
    <row r="21" spans="1:5" x14ac:dyDescent="0.25">
      <c r="A21" s="12" t="s">
        <v>293</v>
      </c>
      <c r="B21" s="16">
        <v>0.80645161290322576</v>
      </c>
      <c r="C21" s="16">
        <v>0.19354838709677419</v>
      </c>
      <c r="D21" s="19">
        <v>1</v>
      </c>
    </row>
    <row r="22" spans="1:5" x14ac:dyDescent="0.25">
      <c r="A22" s="12" t="s">
        <v>310</v>
      </c>
      <c r="B22" s="16">
        <v>0.77333333333333332</v>
      </c>
      <c r="C22" s="16">
        <v>0.22666666666666666</v>
      </c>
      <c r="D22" s="19">
        <v>1</v>
      </c>
      <c r="E22" s="10">
        <f>GETPIVOTDATA("Emp ID",$A$14,"Attrition Rate","YES")</f>
        <v>0.22666666666666666</v>
      </c>
    </row>
    <row r="25" spans="1:5" x14ac:dyDescent="0.25">
      <c r="A25" s="20"/>
      <c r="B25" s="20"/>
      <c r="C25" s="20"/>
      <c r="D25" s="20"/>
      <c r="E25" s="20"/>
    </row>
    <row r="26" spans="1:5" x14ac:dyDescent="0.25">
      <c r="A26" s="20" t="s">
        <v>321</v>
      </c>
      <c r="B26" s="20"/>
      <c r="C26" s="20"/>
      <c r="D26" s="20"/>
    </row>
    <row r="27" spans="1:5" x14ac:dyDescent="0.25">
      <c r="A27" s="11" t="s">
        <v>309</v>
      </c>
      <c r="B27" t="s">
        <v>314</v>
      </c>
    </row>
    <row r="28" spans="1:5" x14ac:dyDescent="0.25">
      <c r="A28" s="12" t="s">
        <v>17</v>
      </c>
      <c r="B28" s="21">
        <v>60.275862068965516</v>
      </c>
    </row>
    <row r="29" spans="1:5" x14ac:dyDescent="0.25">
      <c r="A29" s="12" t="s">
        <v>22</v>
      </c>
      <c r="B29" s="21">
        <v>64.36363636363636</v>
      </c>
    </row>
    <row r="30" spans="1:5" x14ac:dyDescent="0.25">
      <c r="A30" s="12" t="s">
        <v>12</v>
      </c>
      <c r="B30" s="21">
        <v>70.229885057471265</v>
      </c>
    </row>
    <row r="31" spans="1:5" x14ac:dyDescent="0.25">
      <c r="A31" s="12" t="s">
        <v>30</v>
      </c>
      <c r="B31" s="21">
        <v>67.769230769230774</v>
      </c>
    </row>
    <row r="32" spans="1:5" x14ac:dyDescent="0.25">
      <c r="A32" s="12" t="s">
        <v>116</v>
      </c>
      <c r="B32" s="21">
        <v>76.400000000000006</v>
      </c>
    </row>
    <row r="33" spans="1:4" x14ac:dyDescent="0.25">
      <c r="A33" s="12" t="s">
        <v>310</v>
      </c>
      <c r="B33" s="13">
        <v>68.073333333333338</v>
      </c>
    </row>
    <row r="37" spans="1:4" x14ac:dyDescent="0.25">
      <c r="A37" s="20" t="s">
        <v>322</v>
      </c>
      <c r="B37" s="20"/>
      <c r="C37" s="20"/>
      <c r="D37" s="20"/>
    </row>
    <row r="38" spans="1:4" x14ac:dyDescent="0.25">
      <c r="A38" s="11" t="s">
        <v>309</v>
      </c>
      <c r="B38" t="s">
        <v>313</v>
      </c>
    </row>
    <row r="39" spans="1:4" x14ac:dyDescent="0.25">
      <c r="A39" s="12" t="s">
        <v>301</v>
      </c>
      <c r="B39" s="3">
        <v>165216.93250000002</v>
      </c>
      <c r="C39" s="12"/>
      <c r="D39" s="3"/>
    </row>
    <row r="40" spans="1:4" x14ac:dyDescent="0.25">
      <c r="A40" s="12" t="s">
        <v>300</v>
      </c>
      <c r="B40" s="3">
        <v>84593.268800000005</v>
      </c>
      <c r="C40" s="12"/>
      <c r="D40" s="3"/>
    </row>
    <row r="41" spans="1:4" x14ac:dyDescent="0.25">
      <c r="A41" s="12" t="s">
        <v>302</v>
      </c>
      <c r="B41" s="3">
        <v>144689.42879999999</v>
      </c>
      <c r="C41" s="12"/>
      <c r="D41" s="3"/>
    </row>
    <row r="42" spans="1:4" x14ac:dyDescent="0.25">
      <c r="A42" s="12" t="s">
        <v>299</v>
      </c>
      <c r="B42" s="3">
        <v>0</v>
      </c>
      <c r="C42" s="12"/>
      <c r="D42" s="3"/>
    </row>
    <row r="43" spans="1:4" x14ac:dyDescent="0.25">
      <c r="A43" s="12" t="s">
        <v>303</v>
      </c>
      <c r="B43" s="3">
        <v>92411.511600000013</v>
      </c>
      <c r="C43" s="12"/>
      <c r="D43" s="3"/>
    </row>
    <row r="44" spans="1:4" x14ac:dyDescent="0.25">
      <c r="A44" s="12" t="s">
        <v>310</v>
      </c>
      <c r="B44" s="3">
        <v>486911.14170000004</v>
      </c>
      <c r="C44" s="18">
        <f>GETPIVOTDATA("Eligible Bonus Amount",$A$38)</f>
        <v>486911.14170000004</v>
      </c>
      <c r="D44" s="3"/>
    </row>
    <row r="47" spans="1:4" x14ac:dyDescent="0.25">
      <c r="A47" s="20"/>
      <c r="B47" s="20"/>
    </row>
  </sheetData>
  <mergeCells count="8">
    <mergeCell ref="F16:I16"/>
    <mergeCell ref="A2:D2"/>
    <mergeCell ref="A13:E13"/>
    <mergeCell ref="A25:E25"/>
    <mergeCell ref="A47:B47"/>
    <mergeCell ref="A26:D26"/>
    <mergeCell ref="A37:B37"/>
    <mergeCell ref="C37:D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FB80-064C-455E-AB16-C8693647DECB}">
  <dimension ref="A1"/>
  <sheetViews>
    <sheetView topLeftCell="A6" zoomScale="60" zoomScaleNormal="60" workbookViewId="0">
      <selection activeCell="Y13" sqref="Y13"/>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6E32-E596-4A1E-8491-9EA09BAB03DD}">
  <dimension ref="A1"/>
  <sheetViews>
    <sheetView showGridLines="0" tabSelected="1" topLeftCell="A2" zoomScale="40" zoomScaleNormal="40" workbookViewId="0">
      <selection activeCell="AJ50" sqref="AJ5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F758D-1F66-4821-8FC8-0C2750997596}">
  <dimension ref="A1:R151"/>
  <sheetViews>
    <sheetView workbookViewId="0">
      <selection activeCell="F8" sqref="E8:F17"/>
    </sheetView>
  </sheetViews>
  <sheetFormatPr defaultRowHeight="15" x14ac:dyDescent="0.25"/>
  <cols>
    <col min="3" max="3" width="10.7109375" bestFit="1" customWidth="1"/>
    <col min="4" max="5" width="14.85546875" bestFit="1" customWidth="1"/>
    <col min="6" max="6" width="22.5703125" bestFit="1" customWidth="1"/>
    <col min="7" max="7" width="18.28515625" style="15" bestFit="1" customWidth="1"/>
    <col min="8" max="8" width="11.140625" style="5" bestFit="1" customWidth="1"/>
    <col min="9" max="9" width="16.140625" customWidth="1"/>
    <col min="10" max="10" width="15.140625" customWidth="1"/>
    <col min="11" max="11" width="18.42578125" bestFit="1" customWidth="1"/>
    <col min="12" max="12" width="23" bestFit="1" customWidth="1"/>
    <col min="13" max="13" width="23" customWidth="1"/>
    <col min="14" max="14" width="23" style="10" customWidth="1"/>
    <col min="15" max="15" width="21.42578125" bestFit="1" customWidth="1"/>
    <col min="16" max="16" width="13.140625" bestFit="1" customWidth="1"/>
  </cols>
  <sheetData>
    <row r="1" spans="1:18" x14ac:dyDescent="0.25">
      <c r="A1" s="1" t="s">
        <v>0</v>
      </c>
      <c r="B1" s="1" t="s">
        <v>1</v>
      </c>
      <c r="C1" s="1" t="s">
        <v>2</v>
      </c>
      <c r="D1" s="1" t="s">
        <v>3</v>
      </c>
      <c r="E1" s="1" t="s">
        <v>3</v>
      </c>
      <c r="F1" s="1" t="s">
        <v>304</v>
      </c>
      <c r="G1" s="14" t="s">
        <v>4</v>
      </c>
      <c r="H1" s="4" t="s">
        <v>5</v>
      </c>
      <c r="I1" s="1" t="s">
        <v>6</v>
      </c>
      <c r="J1" s="1" t="s">
        <v>306</v>
      </c>
      <c r="K1" s="1" t="s">
        <v>7</v>
      </c>
      <c r="L1" s="7" t="s">
        <v>7</v>
      </c>
      <c r="M1" s="8" t="s">
        <v>305</v>
      </c>
      <c r="N1" s="9" t="s">
        <v>308</v>
      </c>
      <c r="O1" s="8" t="s">
        <v>307</v>
      </c>
      <c r="P1" s="8" t="s">
        <v>315</v>
      </c>
    </row>
    <row r="2" spans="1:18" x14ac:dyDescent="0.25">
      <c r="A2" t="s">
        <v>8</v>
      </c>
      <c r="B2" t="s">
        <v>9</v>
      </c>
      <c r="C2" t="s">
        <v>10</v>
      </c>
      <c r="D2" t="s">
        <v>11</v>
      </c>
      <c r="E2" t="str">
        <f>UPPER(TRIM(D2))</f>
        <v>IT02</v>
      </c>
      <c r="F2" t="str">
        <f>_xlfn.XLOOKUP(E2,Lookup_Departments!A:A,Lookup_Departments!B:B)</f>
        <v>Information Technology</v>
      </c>
      <c r="G2" s="15">
        <v>43093</v>
      </c>
      <c r="H2" s="5">
        <v>50361</v>
      </c>
      <c r="I2">
        <v>52</v>
      </c>
      <c r="J2" t="str">
        <f>_xlfn.XLOOKUP(I2,Lookup_Performance!A:A, Lookup_Performance!C:C,  , -1)</f>
        <v>Developing</v>
      </c>
      <c r="K2" t="s">
        <v>12</v>
      </c>
      <c r="L2" t="str">
        <f>UPPER(TRIM(K2))</f>
        <v>ACTIVE</v>
      </c>
      <c r="M2">
        <f ca="1">DATEDIF(G2, TODAY(), "Y")</f>
        <v>8</v>
      </c>
      <c r="N2" s="10">
        <f>_xlfn.XLOOKUP(J:J,Lookup_Performance!C:C,Lookup_Performance!D:D, "Not Found")</f>
        <v>0.02</v>
      </c>
      <c r="O2" s="3">
        <f>N2*H2</f>
        <v>1007.22</v>
      </c>
      <c r="P2" t="str">
        <f>IF(OR(ISNUMBER(SEARCH("LEFT",L2)), ISNUMBER(SEARCH("RESIGN", L2))), "YES",   "NO")</f>
        <v>NO</v>
      </c>
      <c r="Q2" t="str">
        <f>TRIM(UPPER(L4))</f>
        <v>LEFT</v>
      </c>
      <c r="R2" t="str">
        <f>"|"&amp;L4&amp;"|"</f>
        <v>|LEFT|</v>
      </c>
    </row>
    <row r="3" spans="1:18" x14ac:dyDescent="0.25">
      <c r="A3" t="s">
        <v>13</v>
      </c>
      <c r="B3" t="s">
        <v>14</v>
      </c>
      <c r="C3" t="s">
        <v>15</v>
      </c>
      <c r="D3" t="s">
        <v>16</v>
      </c>
      <c r="E3" t="str">
        <f t="shared" ref="E3:E66" si="0">UPPER(TRIM(D3))</f>
        <v>MKT04</v>
      </c>
      <c r="F3" t="str">
        <f>_xlfn.XLOOKUP(E3,Lookup_Departments!A:A,Lookup_Departments!B:B)</f>
        <v>Marketing</v>
      </c>
      <c r="G3" s="15">
        <v>44659</v>
      </c>
      <c r="H3" s="5">
        <v>112673</v>
      </c>
      <c r="I3">
        <v>68</v>
      </c>
      <c r="J3" t="str">
        <f>_xlfn.XLOOKUP(I3,Lookup_Performance!A:A, Lookup_Performance!C:C,  , -1)</f>
        <v>Developing</v>
      </c>
      <c r="K3" t="s">
        <v>17</v>
      </c>
      <c r="L3" t="str">
        <f t="shared" ref="L3:L66" si="1">UPPER(TRIM(K3))</f>
        <v>ACTIVE</v>
      </c>
      <c r="M3">
        <f t="shared" ref="M3:M47" ca="1" si="2">DATEDIF(G3, TODAY(), "Y")</f>
        <v>4</v>
      </c>
      <c r="N3" s="10">
        <f>_xlfn.XLOOKUP(J:J,Lookup_Performance!C:C,Lookup_Performance!D:D, "Not Found")</f>
        <v>0.02</v>
      </c>
      <c r="O3" s="3">
        <f t="shared" ref="O3:O66" si="3">N3*H3</f>
        <v>2253.46</v>
      </c>
      <c r="P3" t="str">
        <f t="shared" ref="P3:P66" si="4">IF(OR(ISNUMBER(SEARCH("LEFT",L3)), ISNUMBER(SEARCH("RESIGN", L3))), "YES",   "NO")</f>
        <v>NO</v>
      </c>
    </row>
    <row r="4" spans="1:18" x14ac:dyDescent="0.25">
      <c r="A4" t="s">
        <v>18</v>
      </c>
      <c r="B4" t="s">
        <v>9</v>
      </c>
      <c r="C4" t="s">
        <v>19</v>
      </c>
      <c r="D4" t="s">
        <v>20</v>
      </c>
      <c r="E4" t="str">
        <f t="shared" si="0"/>
        <v>IT02</v>
      </c>
      <c r="F4" t="str">
        <f>_xlfn.XLOOKUP(E4,Lookup_Departments!A:A,Lookup_Departments!B:B)</f>
        <v>Information Technology</v>
      </c>
      <c r="G4" s="15">
        <v>42431</v>
      </c>
      <c r="H4" s="5">
        <v>114425</v>
      </c>
      <c r="I4">
        <v>54</v>
      </c>
      <c r="J4" t="str">
        <f>_xlfn.XLOOKUP(I4,Lookup_Performance!A:A, Lookup_Performance!C:C,  , -1)</f>
        <v>Developing</v>
      </c>
      <c r="K4" t="s">
        <v>22</v>
      </c>
      <c r="L4" t="str">
        <f t="shared" si="1"/>
        <v>LEFT</v>
      </c>
      <c r="M4">
        <f t="shared" ca="1" si="2"/>
        <v>10</v>
      </c>
      <c r="N4" s="10">
        <f>_xlfn.XLOOKUP(J:J,Lookup_Performance!C:C,Lookup_Performance!D:D, "Not Found")</f>
        <v>0.02</v>
      </c>
      <c r="O4" s="3">
        <f t="shared" si="3"/>
        <v>2288.5</v>
      </c>
      <c r="P4" t="str">
        <f t="shared" si="4"/>
        <v>YES</v>
      </c>
    </row>
    <row r="5" spans="1:18" x14ac:dyDescent="0.25">
      <c r="A5" t="s">
        <v>23</v>
      </c>
      <c r="B5" t="s">
        <v>24</v>
      </c>
      <c r="C5" t="s">
        <v>25</v>
      </c>
      <c r="D5" t="s">
        <v>26</v>
      </c>
      <c r="E5" t="str">
        <f t="shared" si="0"/>
        <v>FIN03</v>
      </c>
      <c r="F5" t="str">
        <f>_xlfn.XLOOKUP(E5,Lookup_Departments!A:A,Lookup_Departments!B:B)</f>
        <v>Finance</v>
      </c>
      <c r="G5" s="15">
        <v>45110</v>
      </c>
      <c r="H5" s="5">
        <v>103831</v>
      </c>
      <c r="I5">
        <v>70</v>
      </c>
      <c r="J5" t="str">
        <f>_xlfn.XLOOKUP(I5,Lookup_Performance!A:A, Lookup_Performance!C:C,  , -1)</f>
        <v>Achieving</v>
      </c>
      <c r="K5" t="s">
        <v>12</v>
      </c>
      <c r="L5" t="str">
        <f t="shared" si="1"/>
        <v>ACTIVE</v>
      </c>
      <c r="M5">
        <f t="shared" ca="1" si="2"/>
        <v>3</v>
      </c>
      <c r="N5" s="10">
        <f>_xlfn.XLOOKUP(J:J,Lookup_Performance!C:C,Lookup_Performance!D:D, "Not Found")</f>
        <v>0.05</v>
      </c>
      <c r="O5" s="3">
        <f t="shared" si="3"/>
        <v>5191.55</v>
      </c>
      <c r="P5" t="str">
        <f t="shared" si="4"/>
        <v>NO</v>
      </c>
    </row>
    <row r="6" spans="1:18" x14ac:dyDescent="0.25">
      <c r="A6" t="s">
        <v>27</v>
      </c>
      <c r="B6" t="s">
        <v>28</v>
      </c>
      <c r="C6" t="s">
        <v>29</v>
      </c>
      <c r="D6" t="s">
        <v>11</v>
      </c>
      <c r="E6" t="str">
        <f t="shared" si="0"/>
        <v>IT02</v>
      </c>
      <c r="F6" t="str">
        <f>_xlfn.XLOOKUP(E6,Lookup_Departments!A:A,Lookup_Departments!B:B)</f>
        <v>Information Technology</v>
      </c>
      <c r="G6" s="15">
        <v>44977</v>
      </c>
      <c r="H6" s="5">
        <v>73785</v>
      </c>
      <c r="I6">
        <v>40</v>
      </c>
      <c r="J6" t="str">
        <f>_xlfn.XLOOKUP(I6,Lookup_Performance!A:A, Lookup_Performance!C:C,  , -1)</f>
        <v>Needs Improvement</v>
      </c>
      <c r="K6" t="s">
        <v>30</v>
      </c>
      <c r="L6" t="str">
        <f t="shared" si="1"/>
        <v>LEFT</v>
      </c>
      <c r="M6">
        <f t="shared" ca="1" si="2"/>
        <v>3</v>
      </c>
      <c r="N6" s="10">
        <f>_xlfn.XLOOKUP(J:J,Lookup_Performance!C:C,Lookup_Performance!D:D, "Not Found")</f>
        <v>0</v>
      </c>
      <c r="O6" s="3">
        <f t="shared" si="3"/>
        <v>0</v>
      </c>
      <c r="P6" t="str">
        <f t="shared" si="4"/>
        <v>YES</v>
      </c>
      <c r="Q6" t="b">
        <f>L4="LEFT"</f>
        <v>1</v>
      </c>
    </row>
    <row r="7" spans="1:18" x14ac:dyDescent="0.25">
      <c r="A7" t="s">
        <v>31</v>
      </c>
      <c r="B7" t="s">
        <v>9</v>
      </c>
      <c r="C7" t="s">
        <v>32</v>
      </c>
      <c r="D7" t="s">
        <v>33</v>
      </c>
      <c r="E7" t="str">
        <f t="shared" si="0"/>
        <v>OPS06</v>
      </c>
      <c r="F7" t="str">
        <f>_xlfn.XLOOKUP(E7,Lookup_Departments!A:A,Lookup_Departments!B:B)</f>
        <v>Operations</v>
      </c>
      <c r="G7" s="15">
        <v>43892</v>
      </c>
      <c r="H7" s="5">
        <v>115882</v>
      </c>
      <c r="I7">
        <v>49</v>
      </c>
      <c r="J7" t="str">
        <f>_xlfn.XLOOKUP(I7,Lookup_Performance!A:A, Lookup_Performance!C:C,  , -1)</f>
        <v>Needs Improvement</v>
      </c>
      <c r="K7" t="s">
        <v>17</v>
      </c>
      <c r="L7" t="str">
        <f t="shared" si="1"/>
        <v>ACTIVE</v>
      </c>
      <c r="M7">
        <f t="shared" ca="1" si="2"/>
        <v>6</v>
      </c>
      <c r="N7" s="10">
        <f>_xlfn.XLOOKUP(J:J,Lookup_Performance!C:C,Lookup_Performance!D:D, "Not Found")</f>
        <v>0</v>
      </c>
      <c r="O7" s="3">
        <f t="shared" si="3"/>
        <v>0</v>
      </c>
      <c r="P7" t="str">
        <f t="shared" si="4"/>
        <v>NO</v>
      </c>
    </row>
    <row r="8" spans="1:18" x14ac:dyDescent="0.25">
      <c r="A8" t="s">
        <v>35</v>
      </c>
      <c r="B8" t="s">
        <v>24</v>
      </c>
      <c r="C8" t="s">
        <v>36</v>
      </c>
      <c r="D8" t="s">
        <v>37</v>
      </c>
      <c r="E8" t="str">
        <f t="shared" si="0"/>
        <v>OPS06</v>
      </c>
      <c r="F8" t="str">
        <f>_xlfn.XLOOKUP(E8,Lookup_Departments!A:A,Lookup_Departments!B:B)</f>
        <v>Operations</v>
      </c>
      <c r="G8" s="15">
        <v>45272</v>
      </c>
      <c r="H8" s="5">
        <v>59980</v>
      </c>
      <c r="I8">
        <v>70</v>
      </c>
      <c r="J8" t="str">
        <f>_xlfn.XLOOKUP(I8,Lookup_Performance!A:A, Lookup_Performance!C:C,  , -1)</f>
        <v>Achieving</v>
      </c>
      <c r="K8" t="s">
        <v>30</v>
      </c>
      <c r="L8" t="str">
        <f t="shared" si="1"/>
        <v>LEFT</v>
      </c>
      <c r="M8">
        <f t="shared" ca="1" si="2"/>
        <v>2</v>
      </c>
      <c r="N8" s="10">
        <f>_xlfn.XLOOKUP(J:J,Lookup_Performance!C:C,Lookup_Performance!D:D, "Not Found")</f>
        <v>0.05</v>
      </c>
      <c r="O8" s="3">
        <f t="shared" si="3"/>
        <v>2999</v>
      </c>
      <c r="P8" t="str">
        <f t="shared" si="4"/>
        <v>YES</v>
      </c>
    </row>
    <row r="9" spans="1:18" x14ac:dyDescent="0.25">
      <c r="A9" t="s">
        <v>38</v>
      </c>
      <c r="B9" t="s">
        <v>39</v>
      </c>
      <c r="C9" t="s">
        <v>29</v>
      </c>
      <c r="D9" t="s">
        <v>37</v>
      </c>
      <c r="E9" t="str">
        <f t="shared" si="0"/>
        <v>OPS06</v>
      </c>
      <c r="F9" t="str">
        <f>_xlfn.XLOOKUP(E9,Lookup_Departments!A:A,Lookup_Departments!B:B)</f>
        <v>Operations</v>
      </c>
      <c r="G9" s="15">
        <v>44174</v>
      </c>
      <c r="H9" s="5">
        <v>68728</v>
      </c>
      <c r="I9">
        <v>45</v>
      </c>
      <c r="J9" t="str">
        <f>_xlfn.XLOOKUP(I9,Lookup_Performance!A:A, Lookup_Performance!C:C,  , -1)</f>
        <v>Needs Improvement</v>
      </c>
      <c r="K9" t="s">
        <v>17</v>
      </c>
      <c r="L9" t="str">
        <f t="shared" si="1"/>
        <v>ACTIVE</v>
      </c>
      <c r="M9">
        <f t="shared" ca="1" si="2"/>
        <v>5</v>
      </c>
      <c r="N9" s="10">
        <f>_xlfn.XLOOKUP(J:J,Lookup_Performance!C:C,Lookup_Performance!D:D, "Not Found")</f>
        <v>0</v>
      </c>
      <c r="O9" s="3">
        <f t="shared" si="3"/>
        <v>0</v>
      </c>
      <c r="P9" t="str">
        <f t="shared" si="4"/>
        <v>NO</v>
      </c>
    </row>
    <row r="10" spans="1:18" x14ac:dyDescent="0.25">
      <c r="A10" t="s">
        <v>40</v>
      </c>
      <c r="B10" t="str">
        <f>B9</f>
        <v>Jessica</v>
      </c>
      <c r="C10" t="s">
        <v>41</v>
      </c>
      <c r="D10" t="s">
        <v>26</v>
      </c>
      <c r="E10" t="str">
        <f t="shared" si="0"/>
        <v>FIN03</v>
      </c>
      <c r="F10" t="str">
        <f>_xlfn.XLOOKUP(E10,Lookup_Departments!A:A,Lookup_Departments!B:B)</f>
        <v>Finance</v>
      </c>
      <c r="G10" s="15">
        <v>43107</v>
      </c>
      <c r="H10" s="5">
        <v>102139</v>
      </c>
      <c r="I10">
        <v>79</v>
      </c>
      <c r="J10" t="str">
        <f>_xlfn.XLOOKUP(I10,Lookup_Performance!A:A, Lookup_Performance!C:C,  , -1)</f>
        <v>Achieving</v>
      </c>
      <c r="K10" t="s">
        <v>12</v>
      </c>
      <c r="L10" t="str">
        <f t="shared" si="1"/>
        <v>ACTIVE</v>
      </c>
      <c r="M10">
        <f t="shared" ca="1" si="2"/>
        <v>8</v>
      </c>
      <c r="N10" s="10">
        <f>_xlfn.XLOOKUP(J:J,Lookup_Performance!C:C,Lookup_Performance!D:D, "Not Found")</f>
        <v>0.05</v>
      </c>
      <c r="O10" s="3">
        <f t="shared" si="3"/>
        <v>5106.9500000000007</v>
      </c>
      <c r="P10" t="str">
        <f t="shared" si="4"/>
        <v>NO</v>
      </c>
    </row>
    <row r="11" spans="1:18" x14ac:dyDescent="0.25">
      <c r="A11" t="s">
        <v>42</v>
      </c>
      <c r="B11" t="s">
        <v>43</v>
      </c>
      <c r="C11" t="s">
        <v>25</v>
      </c>
      <c r="D11" t="s">
        <v>44</v>
      </c>
      <c r="E11" t="str">
        <f t="shared" si="0"/>
        <v>SAL05</v>
      </c>
      <c r="F11" t="str">
        <f>_xlfn.XLOOKUP(E11,Lookup_Departments!A:A,Lookup_Departments!B:B)</f>
        <v>Sales</v>
      </c>
      <c r="G11" s="15">
        <v>42676</v>
      </c>
      <c r="H11" s="5">
        <v>94998</v>
      </c>
      <c r="I11">
        <v>58</v>
      </c>
      <c r="J11" t="str">
        <f>_xlfn.XLOOKUP(I11,Lookup_Performance!A:A, Lookup_Performance!C:C,  , -1)</f>
        <v>Developing</v>
      </c>
      <c r="K11" t="s">
        <v>45</v>
      </c>
      <c r="L11" t="str">
        <f t="shared" si="1"/>
        <v>ACTIVE</v>
      </c>
      <c r="M11">
        <f t="shared" ca="1" si="2"/>
        <v>9</v>
      </c>
      <c r="N11" s="10">
        <f>_xlfn.XLOOKUP(J:J,Lookup_Performance!C:C,Lookup_Performance!D:D, "Not Found")</f>
        <v>0.02</v>
      </c>
      <c r="O11" s="3">
        <f t="shared" si="3"/>
        <v>1899.96</v>
      </c>
      <c r="P11" t="str">
        <f t="shared" si="4"/>
        <v>NO</v>
      </c>
      <c r="Q11">
        <f>LEN(L4)</f>
        <v>4</v>
      </c>
    </row>
    <row r="12" spans="1:18" x14ac:dyDescent="0.25">
      <c r="A12" t="s">
        <v>46</v>
      </c>
      <c r="B12" t="s">
        <v>9</v>
      </c>
      <c r="C12" t="s">
        <v>47</v>
      </c>
      <c r="D12" t="s">
        <v>48</v>
      </c>
      <c r="E12" t="str">
        <f t="shared" si="0"/>
        <v>SAL05</v>
      </c>
      <c r="F12" t="str">
        <f>_xlfn.XLOOKUP(E12,Lookup_Departments!A:A,Lookup_Departments!B:B)</f>
        <v>Sales</v>
      </c>
      <c r="G12" s="15">
        <v>43911</v>
      </c>
      <c r="H12" s="5">
        <v>118635</v>
      </c>
      <c r="I12">
        <v>49</v>
      </c>
      <c r="J12" t="str">
        <f>_xlfn.XLOOKUP(I12,Lookup_Performance!A:A, Lookup_Performance!C:C,  , -1)</f>
        <v>Needs Improvement</v>
      </c>
      <c r="K12" t="s">
        <v>45</v>
      </c>
      <c r="L12" t="str">
        <f t="shared" si="1"/>
        <v>ACTIVE</v>
      </c>
      <c r="M12">
        <f t="shared" ca="1" si="2"/>
        <v>6</v>
      </c>
      <c r="N12" s="10">
        <f>_xlfn.XLOOKUP(J:J,Lookup_Performance!C:C,Lookup_Performance!D:D, "Not Found")</f>
        <v>0</v>
      </c>
      <c r="O12" s="3">
        <f t="shared" si="3"/>
        <v>0</v>
      </c>
      <c r="P12" t="str">
        <f t="shared" si="4"/>
        <v>NO</v>
      </c>
    </row>
    <row r="13" spans="1:18" x14ac:dyDescent="0.25">
      <c r="A13" t="s">
        <v>50</v>
      </c>
      <c r="B13" t="s">
        <v>9</v>
      </c>
      <c r="C13" t="s">
        <v>15</v>
      </c>
      <c r="D13" t="s">
        <v>11</v>
      </c>
      <c r="E13" t="str">
        <f t="shared" si="0"/>
        <v>IT02</v>
      </c>
      <c r="F13" t="str">
        <f>_xlfn.XLOOKUP(E13,Lookup_Departments!A:A,Lookup_Departments!B:B)</f>
        <v>Information Technology</v>
      </c>
      <c r="G13" s="15">
        <v>42425</v>
      </c>
      <c r="H13" s="5">
        <v>76918</v>
      </c>
      <c r="I13">
        <v>62</v>
      </c>
      <c r="J13" t="str">
        <f>_xlfn.XLOOKUP(I13,Lookup_Performance!A:A, Lookup_Performance!C:C,  , -1)</f>
        <v>Developing</v>
      </c>
      <c r="K13" t="s">
        <v>45</v>
      </c>
      <c r="L13" t="str">
        <f t="shared" si="1"/>
        <v>ACTIVE</v>
      </c>
      <c r="M13">
        <f t="shared" ca="1" si="2"/>
        <v>10</v>
      </c>
      <c r="N13" s="10">
        <f>_xlfn.XLOOKUP(J:J,Lookup_Performance!C:C,Lookup_Performance!D:D, "Not Found")</f>
        <v>0.02</v>
      </c>
      <c r="O13" s="3">
        <f t="shared" si="3"/>
        <v>1538.3600000000001</v>
      </c>
      <c r="P13" t="str">
        <f t="shared" si="4"/>
        <v>NO</v>
      </c>
    </row>
    <row r="14" spans="1:18" x14ac:dyDescent="0.25">
      <c r="A14" t="s">
        <v>52</v>
      </c>
      <c r="B14" t="s">
        <v>53</v>
      </c>
      <c r="C14" t="s">
        <v>54</v>
      </c>
      <c r="D14" t="s">
        <v>55</v>
      </c>
      <c r="E14" t="str">
        <f t="shared" si="0"/>
        <v>MKT04</v>
      </c>
      <c r="F14" t="str">
        <f>_xlfn.XLOOKUP(E14,Lookup_Departments!A:A,Lookup_Departments!B:B)</f>
        <v>Marketing</v>
      </c>
      <c r="G14" s="15">
        <v>44364</v>
      </c>
      <c r="H14" s="5">
        <v>61408</v>
      </c>
      <c r="I14">
        <v>48</v>
      </c>
      <c r="J14" t="str">
        <f>_xlfn.XLOOKUP(I14,Lookup_Performance!A:A, Lookup_Performance!C:C,  , -1)</f>
        <v>Needs Improvement</v>
      </c>
      <c r="K14" t="s">
        <v>17</v>
      </c>
      <c r="L14" t="str">
        <f t="shared" si="1"/>
        <v>ACTIVE</v>
      </c>
      <c r="M14">
        <f t="shared" ca="1" si="2"/>
        <v>5</v>
      </c>
      <c r="N14" s="10">
        <f>_xlfn.XLOOKUP(J:J,Lookup_Performance!C:C,Lookup_Performance!D:D, "Not Found")</f>
        <v>0</v>
      </c>
      <c r="O14" s="3">
        <f t="shared" si="3"/>
        <v>0</v>
      </c>
      <c r="P14" t="str">
        <f t="shared" si="4"/>
        <v>NO</v>
      </c>
    </row>
    <row r="15" spans="1:18" x14ac:dyDescent="0.25">
      <c r="A15" t="s">
        <v>57</v>
      </c>
      <c r="B15" t="s">
        <v>53</v>
      </c>
      <c r="C15" t="s">
        <v>47</v>
      </c>
      <c r="D15" t="s">
        <v>16</v>
      </c>
      <c r="E15" t="str">
        <f t="shared" si="0"/>
        <v>MKT04</v>
      </c>
      <c r="F15" t="str">
        <f>_xlfn.XLOOKUP(E15,Lookup_Departments!A:A,Lookup_Departments!B:B)</f>
        <v>Marketing</v>
      </c>
      <c r="G15" s="15">
        <v>44001</v>
      </c>
      <c r="H15" s="5">
        <v>99990</v>
      </c>
      <c r="I15">
        <v>54</v>
      </c>
      <c r="J15" t="str">
        <f>_xlfn.XLOOKUP(I15,Lookup_Performance!A:A, Lookup_Performance!C:C,  , -1)</f>
        <v>Developing</v>
      </c>
      <c r="K15" t="s">
        <v>45</v>
      </c>
      <c r="L15" t="str">
        <f t="shared" si="1"/>
        <v>ACTIVE</v>
      </c>
      <c r="M15">
        <f t="shared" ca="1" si="2"/>
        <v>6</v>
      </c>
      <c r="N15" s="10">
        <f>_xlfn.XLOOKUP(J:J,Lookup_Performance!C:C,Lookup_Performance!D:D, "Not Found")</f>
        <v>0.02</v>
      </c>
      <c r="O15" s="3">
        <f t="shared" si="3"/>
        <v>1999.8</v>
      </c>
      <c r="P15" t="str">
        <f t="shared" si="4"/>
        <v>NO</v>
      </c>
    </row>
    <row r="16" spans="1:18" x14ac:dyDescent="0.25">
      <c r="A16" t="s">
        <v>58</v>
      </c>
      <c r="B16" t="s">
        <v>59</v>
      </c>
      <c r="C16" t="s">
        <v>60</v>
      </c>
      <c r="D16" t="s">
        <v>61</v>
      </c>
      <c r="E16" t="str">
        <f t="shared" si="0"/>
        <v>MKT04</v>
      </c>
      <c r="F16" t="str">
        <f>_xlfn.XLOOKUP(E16,Lookup_Departments!A:A,Lookup_Departments!B:B)</f>
        <v>Marketing</v>
      </c>
      <c r="G16" s="15">
        <v>43820</v>
      </c>
      <c r="H16" s="5">
        <v>80385</v>
      </c>
      <c r="I16">
        <v>68</v>
      </c>
      <c r="J16" t="str">
        <f>_xlfn.XLOOKUP(I16,Lookup_Performance!A:A, Lookup_Performance!C:C,  , -1)</f>
        <v>Developing</v>
      </c>
      <c r="K16" t="s">
        <v>12</v>
      </c>
      <c r="L16" t="str">
        <f t="shared" si="1"/>
        <v>ACTIVE</v>
      </c>
      <c r="M16">
        <f t="shared" ca="1" si="2"/>
        <v>6</v>
      </c>
      <c r="N16" s="10">
        <f>_xlfn.XLOOKUP(J:J,Lookup_Performance!C:C,Lookup_Performance!D:D, "Not Found")</f>
        <v>0.02</v>
      </c>
      <c r="O16" s="3">
        <f t="shared" si="3"/>
        <v>1607.7</v>
      </c>
      <c r="P16" t="str">
        <f t="shared" si="4"/>
        <v>NO</v>
      </c>
    </row>
    <row r="17" spans="1:16" x14ac:dyDescent="0.25">
      <c r="A17" t="s">
        <v>62</v>
      </c>
      <c r="B17" t="s">
        <v>28</v>
      </c>
      <c r="C17" t="s">
        <v>41</v>
      </c>
      <c r="D17" t="s">
        <v>44</v>
      </c>
      <c r="E17" t="str">
        <f t="shared" si="0"/>
        <v>SAL05</v>
      </c>
      <c r="F17" t="str">
        <f>_xlfn.XLOOKUP(E17,Lookup_Departments!A:A,Lookup_Departments!B:B)</f>
        <v>Sales</v>
      </c>
      <c r="G17" s="15">
        <v>45169</v>
      </c>
      <c r="H17" s="5">
        <v>65290</v>
      </c>
      <c r="I17">
        <v>77</v>
      </c>
      <c r="J17" t="str">
        <f>_xlfn.XLOOKUP(I17,Lookup_Performance!A:A, Lookup_Performance!C:C,  , -1)</f>
        <v>Achieving</v>
      </c>
      <c r="K17" t="s">
        <v>12</v>
      </c>
      <c r="L17" t="str">
        <f t="shared" si="1"/>
        <v>ACTIVE</v>
      </c>
      <c r="M17">
        <f t="shared" ca="1" si="2"/>
        <v>2</v>
      </c>
      <c r="N17" s="10">
        <f>_xlfn.XLOOKUP(J:J,Lookup_Performance!C:C,Lookup_Performance!D:D, "Not Found")</f>
        <v>0.05</v>
      </c>
      <c r="O17" s="3">
        <f t="shared" si="3"/>
        <v>3264.5</v>
      </c>
      <c r="P17" t="str">
        <f t="shared" si="4"/>
        <v>NO</v>
      </c>
    </row>
    <row r="18" spans="1:16" x14ac:dyDescent="0.25">
      <c r="A18" t="s">
        <v>63</v>
      </c>
      <c r="B18" t="s">
        <v>9</v>
      </c>
      <c r="C18" t="s">
        <v>64</v>
      </c>
      <c r="D18" t="s">
        <v>11</v>
      </c>
      <c r="E18" t="str">
        <f t="shared" si="0"/>
        <v>IT02</v>
      </c>
      <c r="F18" t="str">
        <f>_xlfn.XLOOKUP(E18,Lookup_Departments!A:A,Lookup_Departments!B:B)</f>
        <v>Information Technology</v>
      </c>
      <c r="G18" s="15">
        <v>42337</v>
      </c>
      <c r="H18" s="5">
        <v>105765</v>
      </c>
      <c r="I18">
        <v>42</v>
      </c>
      <c r="J18" t="str">
        <f>_xlfn.XLOOKUP(I18,Lookup_Performance!A:A, Lookup_Performance!C:C,  , -1)</f>
        <v>Needs Improvement</v>
      </c>
      <c r="K18" t="s">
        <v>45</v>
      </c>
      <c r="L18" t="str">
        <f t="shared" si="1"/>
        <v>ACTIVE</v>
      </c>
      <c r="M18">
        <f t="shared" ca="1" si="2"/>
        <v>10</v>
      </c>
      <c r="N18" s="10">
        <f>_xlfn.XLOOKUP(J:J,Lookup_Performance!C:C,Lookup_Performance!D:D, "Not Found")</f>
        <v>0</v>
      </c>
      <c r="O18" s="3">
        <f t="shared" si="3"/>
        <v>0</v>
      </c>
      <c r="P18" t="str">
        <f t="shared" si="4"/>
        <v>NO</v>
      </c>
    </row>
    <row r="19" spans="1:16" x14ac:dyDescent="0.25">
      <c r="A19" t="s">
        <v>65</v>
      </c>
      <c r="B19" t="s">
        <v>66</v>
      </c>
      <c r="C19" t="s">
        <v>25</v>
      </c>
      <c r="D19" t="s">
        <v>44</v>
      </c>
      <c r="E19" t="str">
        <f t="shared" si="0"/>
        <v>SAL05</v>
      </c>
      <c r="F19" t="str">
        <f>_xlfn.XLOOKUP(E19,Lookup_Departments!A:A,Lookup_Departments!B:B)</f>
        <v>Sales</v>
      </c>
      <c r="G19" s="15">
        <v>42899</v>
      </c>
      <c r="H19" s="5">
        <v>102921</v>
      </c>
      <c r="I19">
        <v>49</v>
      </c>
      <c r="J19" t="str">
        <f>_xlfn.XLOOKUP(I19,Lookup_Performance!A:A, Lookup_Performance!C:C,  , -1)</f>
        <v>Needs Improvement</v>
      </c>
      <c r="K19" t="s">
        <v>17</v>
      </c>
      <c r="L19" t="str">
        <f t="shared" si="1"/>
        <v>ACTIVE</v>
      </c>
      <c r="M19">
        <f t="shared" ca="1" si="2"/>
        <v>9</v>
      </c>
      <c r="N19" s="10">
        <f>_xlfn.XLOOKUP(J:J,Lookup_Performance!C:C,Lookup_Performance!D:D, "Not Found")</f>
        <v>0</v>
      </c>
      <c r="O19" s="3">
        <f t="shared" si="3"/>
        <v>0</v>
      </c>
      <c r="P19" t="str">
        <f t="shared" si="4"/>
        <v>NO</v>
      </c>
    </row>
    <row r="20" spans="1:16" x14ac:dyDescent="0.25">
      <c r="A20" t="s">
        <v>67</v>
      </c>
      <c r="B20" t="s">
        <v>9</v>
      </c>
      <c r="C20" t="s">
        <v>69</v>
      </c>
      <c r="D20" t="s">
        <v>16</v>
      </c>
      <c r="E20" t="str">
        <f t="shared" si="0"/>
        <v>MKT04</v>
      </c>
      <c r="F20" t="str">
        <f>_xlfn.XLOOKUP(E20,Lookup_Departments!A:A,Lookup_Departments!B:B)</f>
        <v>Marketing</v>
      </c>
      <c r="G20" s="15">
        <v>43235</v>
      </c>
      <c r="H20" s="5">
        <v>73984</v>
      </c>
      <c r="I20">
        <v>93</v>
      </c>
      <c r="J20" t="str">
        <f>_xlfn.XLOOKUP(I20,Lookup_Performance!A:A, Lookup_Performance!C:C,  , -1)</f>
        <v>Exceeding</v>
      </c>
      <c r="K20" t="s">
        <v>45</v>
      </c>
      <c r="L20" t="str">
        <f t="shared" si="1"/>
        <v>ACTIVE</v>
      </c>
      <c r="M20">
        <f t="shared" ca="1" si="2"/>
        <v>8</v>
      </c>
      <c r="N20" s="10">
        <f>_xlfn.XLOOKUP(J:J,Lookup_Performance!C:C,Lookup_Performance!D:D, "Not Found")</f>
        <v>0.08</v>
      </c>
      <c r="O20" s="3">
        <f t="shared" si="3"/>
        <v>5918.72</v>
      </c>
      <c r="P20" t="str">
        <f t="shared" si="4"/>
        <v>NO</v>
      </c>
    </row>
    <row r="21" spans="1:16" x14ac:dyDescent="0.25">
      <c r="A21" t="s">
        <v>70</v>
      </c>
      <c r="B21" t="s">
        <v>68</v>
      </c>
      <c r="C21" t="s">
        <v>19</v>
      </c>
      <c r="D21" t="s">
        <v>11</v>
      </c>
      <c r="E21" t="str">
        <f t="shared" si="0"/>
        <v>IT02</v>
      </c>
      <c r="F21" t="str">
        <f>_xlfn.XLOOKUP(E21,Lookup_Departments!A:A,Lookup_Departments!B:B)</f>
        <v>Information Technology</v>
      </c>
      <c r="G21" s="15">
        <v>42575</v>
      </c>
      <c r="H21" s="5">
        <v>83603.929999999993</v>
      </c>
      <c r="I21">
        <v>75</v>
      </c>
      <c r="J21" t="str">
        <f>_xlfn.XLOOKUP(I21,Lookup_Performance!A:A, Lookup_Performance!C:C,  , -1)</f>
        <v>Achieving</v>
      </c>
      <c r="K21" t="s">
        <v>45</v>
      </c>
      <c r="L21" t="str">
        <f t="shared" si="1"/>
        <v>ACTIVE</v>
      </c>
      <c r="M21">
        <f t="shared" ca="1" si="2"/>
        <v>9</v>
      </c>
      <c r="N21" s="10">
        <f>_xlfn.XLOOKUP(J:J,Lookup_Performance!C:C,Lookup_Performance!D:D, "Not Found")</f>
        <v>0.05</v>
      </c>
      <c r="O21" s="3">
        <f t="shared" si="3"/>
        <v>4180.1965</v>
      </c>
      <c r="P21" t="str">
        <f t="shared" si="4"/>
        <v>NO</v>
      </c>
    </row>
    <row r="22" spans="1:16" x14ac:dyDescent="0.25">
      <c r="A22" t="s">
        <v>72</v>
      </c>
      <c r="B22" t="s">
        <v>71</v>
      </c>
      <c r="C22" t="s">
        <v>15</v>
      </c>
      <c r="D22" t="s">
        <v>26</v>
      </c>
      <c r="E22" t="str">
        <f t="shared" si="0"/>
        <v>FIN03</v>
      </c>
      <c r="F22" t="str">
        <f>_xlfn.XLOOKUP(E22,Lookup_Departments!A:A,Lookup_Departments!B:B)</f>
        <v>Finance</v>
      </c>
      <c r="G22" s="15">
        <v>43076</v>
      </c>
      <c r="H22" s="5">
        <v>118527</v>
      </c>
      <c r="I22">
        <v>50</v>
      </c>
      <c r="J22" t="str">
        <f>_xlfn.XLOOKUP(I22,Lookup_Performance!A:A, Lookup_Performance!C:C,  , -1)</f>
        <v>Developing</v>
      </c>
      <c r="K22" t="s">
        <v>45</v>
      </c>
      <c r="L22" t="str">
        <f t="shared" si="1"/>
        <v>ACTIVE</v>
      </c>
      <c r="M22">
        <f t="shared" ca="1" si="2"/>
        <v>8</v>
      </c>
      <c r="N22" s="10">
        <f>_xlfn.XLOOKUP(J:J,Lookup_Performance!C:C,Lookup_Performance!D:D, "Not Found")</f>
        <v>0.02</v>
      </c>
      <c r="O22" s="3">
        <f t="shared" si="3"/>
        <v>2370.54</v>
      </c>
      <c r="P22" t="str">
        <f t="shared" si="4"/>
        <v>NO</v>
      </c>
    </row>
    <row r="23" spans="1:16" x14ac:dyDescent="0.25">
      <c r="A23" t="s">
        <v>73</v>
      </c>
      <c r="B23" t="s">
        <v>43</v>
      </c>
      <c r="C23" t="s">
        <v>15</v>
      </c>
      <c r="D23" t="s">
        <v>16</v>
      </c>
      <c r="E23" t="str">
        <f t="shared" si="0"/>
        <v>MKT04</v>
      </c>
      <c r="F23" t="str">
        <f>_xlfn.XLOOKUP(E23,Lookup_Departments!A:A,Lookup_Departments!B:B)</f>
        <v>Marketing</v>
      </c>
      <c r="G23" s="15">
        <v>44353</v>
      </c>
      <c r="H23" s="5">
        <v>107871</v>
      </c>
      <c r="I23">
        <v>88</v>
      </c>
      <c r="J23" t="str">
        <f>_xlfn.XLOOKUP(I23,Lookup_Performance!A:A, Lookup_Performance!C:C,  , -1)</f>
        <v>Exceeding</v>
      </c>
      <c r="K23" t="s">
        <v>12</v>
      </c>
      <c r="L23" t="str">
        <f t="shared" si="1"/>
        <v>ACTIVE</v>
      </c>
      <c r="M23">
        <f t="shared" ca="1" si="2"/>
        <v>5</v>
      </c>
      <c r="N23" s="10">
        <f>_xlfn.XLOOKUP(J:J,Lookup_Performance!C:C,Lookup_Performance!D:D, "Not Found")</f>
        <v>0.08</v>
      </c>
      <c r="O23" s="3">
        <f t="shared" si="3"/>
        <v>8629.68</v>
      </c>
      <c r="P23" t="str">
        <f t="shared" si="4"/>
        <v>NO</v>
      </c>
    </row>
    <row r="24" spans="1:16" x14ac:dyDescent="0.25">
      <c r="A24" t="s">
        <v>74</v>
      </c>
      <c r="B24" t="s">
        <v>14</v>
      </c>
      <c r="C24" t="s">
        <v>41</v>
      </c>
      <c r="D24" t="s">
        <v>20</v>
      </c>
      <c r="E24" t="str">
        <f t="shared" si="0"/>
        <v>IT02</v>
      </c>
      <c r="F24" t="str">
        <f>_xlfn.XLOOKUP(E24,Lookup_Departments!A:A,Lookup_Departments!B:B)</f>
        <v>Information Technology</v>
      </c>
      <c r="G24" s="15">
        <v>44815</v>
      </c>
      <c r="H24" s="5">
        <v>93956</v>
      </c>
      <c r="I24">
        <v>50</v>
      </c>
      <c r="J24" t="str">
        <f>_xlfn.XLOOKUP(I24,Lookup_Performance!A:A, Lookup_Performance!C:C,  , -1)</f>
        <v>Developing</v>
      </c>
      <c r="K24" t="s">
        <v>22</v>
      </c>
      <c r="L24" t="str">
        <f t="shared" si="1"/>
        <v>LEFT</v>
      </c>
      <c r="M24">
        <f t="shared" ca="1" si="2"/>
        <v>3</v>
      </c>
      <c r="N24" s="10">
        <f>_xlfn.XLOOKUP(J:J,Lookup_Performance!C:C,Lookup_Performance!D:D, "Not Found")</f>
        <v>0.02</v>
      </c>
      <c r="O24" s="3">
        <f t="shared" si="3"/>
        <v>1879.1200000000001</v>
      </c>
      <c r="P24" t="str">
        <f t="shared" si="4"/>
        <v>YES</v>
      </c>
    </row>
    <row r="25" spans="1:16" x14ac:dyDescent="0.25">
      <c r="A25" t="s">
        <v>75</v>
      </c>
      <c r="B25" t="s">
        <v>43</v>
      </c>
      <c r="C25" t="s">
        <v>32</v>
      </c>
      <c r="D25" t="s">
        <v>76</v>
      </c>
      <c r="E25" t="str">
        <f t="shared" si="0"/>
        <v>FIN03</v>
      </c>
      <c r="F25" t="str">
        <f>_xlfn.XLOOKUP(E25,Lookup_Departments!A:A,Lookup_Departments!B:B)</f>
        <v>Finance</v>
      </c>
      <c r="G25" s="15">
        <v>42565</v>
      </c>
      <c r="H25" s="5">
        <v>100851</v>
      </c>
      <c r="I25">
        <v>64</v>
      </c>
      <c r="J25" t="str">
        <f>_xlfn.XLOOKUP(I25,Lookup_Performance!A:A, Lookup_Performance!C:C,  , -1)</f>
        <v>Developing</v>
      </c>
      <c r="K25" t="s">
        <v>17</v>
      </c>
      <c r="L25" t="str">
        <f t="shared" si="1"/>
        <v>ACTIVE</v>
      </c>
      <c r="M25">
        <f t="shared" ca="1" si="2"/>
        <v>9</v>
      </c>
      <c r="N25" s="10">
        <f>_xlfn.XLOOKUP(J:J,Lookup_Performance!C:C,Lookup_Performance!D:D, "Not Found")</f>
        <v>0.02</v>
      </c>
      <c r="O25" s="3">
        <f t="shared" si="3"/>
        <v>2017.02</v>
      </c>
      <c r="P25" t="str">
        <f t="shared" si="4"/>
        <v>NO</v>
      </c>
    </row>
    <row r="26" spans="1:16" x14ac:dyDescent="0.25">
      <c r="A26" t="s">
        <v>77</v>
      </c>
      <c r="B26" t="s">
        <v>39</v>
      </c>
      <c r="C26" t="s">
        <v>54</v>
      </c>
      <c r="D26" t="s">
        <v>44</v>
      </c>
      <c r="E26" t="str">
        <f t="shared" si="0"/>
        <v>SAL05</v>
      </c>
      <c r="F26" t="str">
        <f>_xlfn.XLOOKUP(E26,Lookup_Departments!A:A,Lookup_Departments!B:B)</f>
        <v>Sales</v>
      </c>
      <c r="G26" s="15">
        <v>44728</v>
      </c>
      <c r="H26" s="5">
        <v>68655</v>
      </c>
      <c r="I26">
        <v>32</v>
      </c>
      <c r="J26" t="str">
        <f>_xlfn.XLOOKUP(I26,Lookup_Performance!A:A, Lookup_Performance!C:C,  , -1)</f>
        <v>Needs Improvement</v>
      </c>
      <c r="K26" t="s">
        <v>12</v>
      </c>
      <c r="L26" t="str">
        <f t="shared" si="1"/>
        <v>ACTIVE</v>
      </c>
      <c r="M26">
        <f t="shared" ca="1" si="2"/>
        <v>4</v>
      </c>
      <c r="N26" s="10">
        <f>_xlfn.XLOOKUP(J:J,Lookup_Performance!C:C,Lookup_Performance!D:D, "Not Found")</f>
        <v>0</v>
      </c>
      <c r="O26" s="3">
        <f t="shared" si="3"/>
        <v>0</v>
      </c>
      <c r="P26" t="str">
        <f t="shared" si="4"/>
        <v>NO</v>
      </c>
    </row>
    <row r="27" spans="1:16" x14ac:dyDescent="0.25">
      <c r="A27" t="s">
        <v>78</v>
      </c>
      <c r="B27" t="s">
        <v>68</v>
      </c>
      <c r="C27" t="s">
        <v>54</v>
      </c>
      <c r="D27" t="s">
        <v>79</v>
      </c>
      <c r="E27" t="str">
        <f t="shared" si="0"/>
        <v>SAL05</v>
      </c>
      <c r="F27" t="str">
        <f>_xlfn.XLOOKUP(E27,Lookup_Departments!A:A,Lookup_Departments!B:B)</f>
        <v>Sales</v>
      </c>
      <c r="G27" s="15">
        <v>45134</v>
      </c>
      <c r="H27" s="5">
        <v>81205</v>
      </c>
      <c r="I27">
        <v>59</v>
      </c>
      <c r="J27" t="str">
        <f>_xlfn.XLOOKUP(I27,Lookup_Performance!A:A, Lookup_Performance!C:C,  , -1)</f>
        <v>Developing</v>
      </c>
      <c r="K27" t="s">
        <v>45</v>
      </c>
      <c r="L27" t="str">
        <f t="shared" si="1"/>
        <v>ACTIVE</v>
      </c>
      <c r="M27">
        <f t="shared" ca="1" si="2"/>
        <v>2</v>
      </c>
      <c r="N27" s="10">
        <f>_xlfn.XLOOKUP(J:J,Lookup_Performance!C:C,Lookup_Performance!D:D, "Not Found")</f>
        <v>0.02</v>
      </c>
      <c r="O27" s="3">
        <f t="shared" si="3"/>
        <v>1624.1000000000001</v>
      </c>
      <c r="P27" t="str">
        <f t="shared" si="4"/>
        <v>NO</v>
      </c>
    </row>
    <row r="28" spans="1:16" x14ac:dyDescent="0.25">
      <c r="A28" t="s">
        <v>80</v>
      </c>
      <c r="B28" t="str">
        <f>B27</f>
        <v>Ashley</v>
      </c>
      <c r="C28" t="s">
        <v>36</v>
      </c>
      <c r="D28" t="s">
        <v>44</v>
      </c>
      <c r="E28" t="str">
        <f t="shared" si="0"/>
        <v>SAL05</v>
      </c>
      <c r="F28" t="str">
        <f>_xlfn.XLOOKUP(E28,Lookup_Departments!A:A,Lookup_Departments!B:B)</f>
        <v>Sales</v>
      </c>
      <c r="G28" s="15">
        <v>43732</v>
      </c>
      <c r="H28" s="5">
        <v>77610</v>
      </c>
      <c r="I28">
        <v>88</v>
      </c>
      <c r="J28" t="str">
        <f>_xlfn.XLOOKUP(I28,Lookup_Performance!A:A, Lookup_Performance!C:C,  , -1)</f>
        <v>Exceeding</v>
      </c>
      <c r="K28" t="s">
        <v>45</v>
      </c>
      <c r="L28" t="str">
        <f t="shared" si="1"/>
        <v>ACTIVE</v>
      </c>
      <c r="M28">
        <f t="shared" ca="1" si="2"/>
        <v>6</v>
      </c>
      <c r="N28" s="10">
        <f>_xlfn.XLOOKUP(J:J,Lookup_Performance!C:C,Lookup_Performance!D:D, "Not Found")</f>
        <v>0.08</v>
      </c>
      <c r="O28" s="3">
        <f t="shared" si="3"/>
        <v>6208.8</v>
      </c>
      <c r="P28" t="str">
        <f t="shared" si="4"/>
        <v>NO</v>
      </c>
    </row>
    <row r="29" spans="1:16" x14ac:dyDescent="0.25">
      <c r="A29" t="s">
        <v>83</v>
      </c>
      <c r="B29" t="s">
        <v>24</v>
      </c>
      <c r="C29" t="s">
        <v>41</v>
      </c>
      <c r="D29" t="s">
        <v>84</v>
      </c>
      <c r="E29" t="str">
        <f t="shared" si="0"/>
        <v>IT02</v>
      </c>
      <c r="F29" t="str">
        <f>_xlfn.XLOOKUP(E29,Lookup_Departments!A:A,Lookup_Departments!B:B)</f>
        <v>Information Technology</v>
      </c>
      <c r="G29" s="15">
        <v>44765</v>
      </c>
      <c r="H29" s="5">
        <v>50873</v>
      </c>
      <c r="I29">
        <v>90</v>
      </c>
      <c r="J29" t="str">
        <f>_xlfn.XLOOKUP(I29,Lookup_Performance!A:A, Lookup_Performance!C:C,  , -1)</f>
        <v>Exceeding</v>
      </c>
      <c r="K29" t="s">
        <v>45</v>
      </c>
      <c r="L29" t="str">
        <f t="shared" si="1"/>
        <v>ACTIVE</v>
      </c>
      <c r="M29">
        <f t="shared" ca="1" si="2"/>
        <v>3</v>
      </c>
      <c r="N29" s="10">
        <f>_xlfn.XLOOKUP(J:J,Lookup_Performance!C:C,Lookup_Performance!D:D, "Not Found")</f>
        <v>0.08</v>
      </c>
      <c r="O29" s="3">
        <f t="shared" si="3"/>
        <v>4069.84</v>
      </c>
      <c r="P29" t="str">
        <f t="shared" si="4"/>
        <v>NO</v>
      </c>
    </row>
    <row r="30" spans="1:16" x14ac:dyDescent="0.25">
      <c r="A30" t="s">
        <v>86</v>
      </c>
      <c r="B30" t="s">
        <v>28</v>
      </c>
      <c r="C30" t="s">
        <v>36</v>
      </c>
      <c r="D30" t="s">
        <v>87</v>
      </c>
      <c r="E30" t="str">
        <f t="shared" si="0"/>
        <v>FIN03</v>
      </c>
      <c r="F30" t="str">
        <f>_xlfn.XLOOKUP(E30,Lookup_Departments!A:A,Lookup_Departments!B:B)</f>
        <v>Finance</v>
      </c>
      <c r="G30" s="15">
        <v>43233</v>
      </c>
      <c r="H30" s="5">
        <v>85312</v>
      </c>
      <c r="I30">
        <v>66</v>
      </c>
      <c r="J30" t="str">
        <f>_xlfn.XLOOKUP(I30,Lookup_Performance!A:A, Lookup_Performance!C:C,  , -1)</f>
        <v>Developing</v>
      </c>
      <c r="K30" t="s">
        <v>12</v>
      </c>
      <c r="L30" t="str">
        <f t="shared" si="1"/>
        <v>ACTIVE</v>
      </c>
      <c r="M30">
        <f t="shared" ca="1" si="2"/>
        <v>8</v>
      </c>
      <c r="N30" s="10">
        <f>_xlfn.XLOOKUP(J:J,Lookup_Performance!C:C,Lookup_Performance!D:D, "Not Found")</f>
        <v>0.02</v>
      </c>
      <c r="O30" s="3">
        <f t="shared" si="3"/>
        <v>1706.24</v>
      </c>
      <c r="P30" t="str">
        <f t="shared" si="4"/>
        <v>NO</v>
      </c>
    </row>
    <row r="31" spans="1:16" x14ac:dyDescent="0.25">
      <c r="A31" t="s">
        <v>89</v>
      </c>
      <c r="B31" t="s">
        <v>43</v>
      </c>
      <c r="C31" t="s">
        <v>41</v>
      </c>
      <c r="D31" t="s">
        <v>44</v>
      </c>
      <c r="E31" t="str">
        <f t="shared" si="0"/>
        <v>SAL05</v>
      </c>
      <c r="F31" t="str">
        <f>_xlfn.XLOOKUP(E31,Lookup_Departments!A:A,Lookup_Departments!B:B)</f>
        <v>Sales</v>
      </c>
      <c r="G31" s="15">
        <v>42202</v>
      </c>
      <c r="H31" s="5">
        <v>83603.929999999993</v>
      </c>
      <c r="I31">
        <v>68</v>
      </c>
      <c r="J31" t="str">
        <f>_xlfn.XLOOKUP(I31,Lookup_Performance!A:A, Lookup_Performance!C:C,  , -1)</f>
        <v>Developing</v>
      </c>
      <c r="K31" t="s">
        <v>12</v>
      </c>
      <c r="L31" t="str">
        <f t="shared" si="1"/>
        <v>ACTIVE</v>
      </c>
      <c r="M31">
        <f t="shared" ca="1" si="2"/>
        <v>10</v>
      </c>
      <c r="N31" s="10">
        <f>_xlfn.XLOOKUP(J:J,Lookup_Performance!C:C,Lookup_Performance!D:D, "Not Found")</f>
        <v>0.02</v>
      </c>
      <c r="O31" s="3">
        <f t="shared" si="3"/>
        <v>1672.0785999999998</v>
      </c>
      <c r="P31" t="str">
        <f t="shared" si="4"/>
        <v>NO</v>
      </c>
    </row>
    <row r="32" spans="1:16" x14ac:dyDescent="0.25">
      <c r="A32" t="s">
        <v>90</v>
      </c>
      <c r="B32" t="s">
        <v>24</v>
      </c>
      <c r="C32" t="s">
        <v>15</v>
      </c>
      <c r="D32" t="s">
        <v>33</v>
      </c>
      <c r="E32" t="str">
        <f t="shared" si="0"/>
        <v>OPS06</v>
      </c>
      <c r="F32" t="str">
        <f>_xlfn.XLOOKUP(E32,Lookup_Departments!A:A,Lookup_Departments!B:B)</f>
        <v>Operations</v>
      </c>
      <c r="G32" s="15">
        <v>42221</v>
      </c>
      <c r="H32" s="5">
        <v>97055</v>
      </c>
      <c r="I32">
        <v>80</v>
      </c>
      <c r="J32" t="str">
        <f>_xlfn.XLOOKUP(I32,Lookup_Performance!A:A, Lookup_Performance!C:C,  , -1)</f>
        <v>Achieving</v>
      </c>
      <c r="K32" t="s">
        <v>45</v>
      </c>
      <c r="L32" t="str">
        <f t="shared" si="1"/>
        <v>ACTIVE</v>
      </c>
      <c r="M32">
        <f t="shared" ca="1" si="2"/>
        <v>10</v>
      </c>
      <c r="N32" s="10">
        <f>_xlfn.XLOOKUP(J:J,Lookup_Performance!C:C,Lookup_Performance!D:D, "Not Found")</f>
        <v>0.05</v>
      </c>
      <c r="O32" s="3">
        <f t="shared" si="3"/>
        <v>4852.75</v>
      </c>
      <c r="P32" t="str">
        <f t="shared" si="4"/>
        <v>NO</v>
      </c>
    </row>
    <row r="33" spans="1:16" x14ac:dyDescent="0.25">
      <c r="A33" t="s">
        <v>92</v>
      </c>
      <c r="B33" t="s">
        <v>28</v>
      </c>
      <c r="C33" t="s">
        <v>32</v>
      </c>
      <c r="D33" t="s">
        <v>11</v>
      </c>
      <c r="E33" t="str">
        <f t="shared" si="0"/>
        <v>IT02</v>
      </c>
      <c r="F33" t="str">
        <f>_xlfn.XLOOKUP(E33,Lookup_Departments!A:A,Lookup_Departments!B:B)</f>
        <v>Information Technology</v>
      </c>
      <c r="G33" s="15">
        <v>45195</v>
      </c>
      <c r="H33" s="5">
        <v>66069</v>
      </c>
      <c r="I33">
        <v>72</v>
      </c>
      <c r="J33" t="str">
        <f>_xlfn.XLOOKUP(I33,Lookup_Performance!A:A, Lookup_Performance!C:C,  , -1)</f>
        <v>Achieving</v>
      </c>
      <c r="K33" t="s">
        <v>45</v>
      </c>
      <c r="L33" t="str">
        <f t="shared" si="1"/>
        <v>ACTIVE</v>
      </c>
      <c r="M33">
        <f t="shared" ca="1" si="2"/>
        <v>2</v>
      </c>
      <c r="N33" s="10">
        <f>_xlfn.XLOOKUP(J:J,Lookup_Performance!C:C,Lookup_Performance!D:D, "Not Found")</f>
        <v>0.05</v>
      </c>
      <c r="O33" s="3">
        <f t="shared" si="3"/>
        <v>3303.4500000000003</v>
      </c>
      <c r="P33" t="str">
        <f t="shared" si="4"/>
        <v>NO</v>
      </c>
    </row>
    <row r="34" spans="1:16" x14ac:dyDescent="0.25">
      <c r="A34" t="s">
        <v>93</v>
      </c>
      <c r="B34" t="s">
        <v>43</v>
      </c>
      <c r="C34" t="s">
        <v>10</v>
      </c>
      <c r="D34" t="s">
        <v>84</v>
      </c>
      <c r="E34" t="str">
        <f t="shared" si="0"/>
        <v>IT02</v>
      </c>
      <c r="F34" t="str">
        <f>_xlfn.XLOOKUP(E34,Lookup_Departments!A:A,Lookup_Departments!B:B)</f>
        <v>Information Technology</v>
      </c>
      <c r="G34" s="15">
        <v>43626</v>
      </c>
      <c r="H34" s="5">
        <v>90157</v>
      </c>
      <c r="I34">
        <v>58</v>
      </c>
      <c r="J34" t="str">
        <f>_xlfn.XLOOKUP(I34,Lookup_Performance!A:A, Lookup_Performance!C:C,  , -1)</f>
        <v>Developing</v>
      </c>
      <c r="K34" t="s">
        <v>12</v>
      </c>
      <c r="L34" t="str">
        <f t="shared" si="1"/>
        <v>ACTIVE</v>
      </c>
      <c r="M34">
        <f t="shared" ca="1" si="2"/>
        <v>7</v>
      </c>
      <c r="N34" s="10">
        <f>_xlfn.XLOOKUP(J:J,Lookup_Performance!C:C,Lookup_Performance!D:D, "Not Found")</f>
        <v>0.02</v>
      </c>
      <c r="O34" s="3">
        <f t="shared" si="3"/>
        <v>1803.14</v>
      </c>
      <c r="P34" t="str">
        <f t="shared" si="4"/>
        <v>NO</v>
      </c>
    </row>
    <row r="35" spans="1:16" x14ac:dyDescent="0.25">
      <c r="A35" t="s">
        <v>96</v>
      </c>
      <c r="B35" t="s">
        <v>94</v>
      </c>
      <c r="C35" t="s">
        <v>25</v>
      </c>
      <c r="D35" t="s">
        <v>97</v>
      </c>
      <c r="E35" t="str">
        <f t="shared" si="0"/>
        <v>HR01</v>
      </c>
      <c r="F35" t="str">
        <f>_xlfn.XLOOKUP(E35,Lookup_Departments!A:A,Lookup_Departments!B:B)</f>
        <v>Human Resources</v>
      </c>
      <c r="G35" s="15">
        <v>44578</v>
      </c>
      <c r="H35" s="5">
        <v>59899</v>
      </c>
      <c r="I35">
        <v>78</v>
      </c>
      <c r="J35" t="str">
        <f>_xlfn.XLOOKUP(I35,Lookup_Performance!A:A, Lookup_Performance!C:C,  , -1)</f>
        <v>Achieving</v>
      </c>
      <c r="K35" t="s">
        <v>45</v>
      </c>
      <c r="L35" t="str">
        <f t="shared" si="1"/>
        <v>ACTIVE</v>
      </c>
      <c r="M35">
        <f t="shared" ca="1" si="2"/>
        <v>4</v>
      </c>
      <c r="N35" s="10">
        <f>_xlfn.XLOOKUP(J:J,Lookup_Performance!C:C,Lookup_Performance!D:D, "Not Found")</f>
        <v>0.05</v>
      </c>
      <c r="O35" s="3">
        <f t="shared" si="3"/>
        <v>2994.9500000000003</v>
      </c>
      <c r="P35" t="str">
        <f t="shared" si="4"/>
        <v>NO</v>
      </c>
    </row>
    <row r="36" spans="1:16" x14ac:dyDescent="0.25">
      <c r="A36" t="s">
        <v>98</v>
      </c>
      <c r="B36" t="s">
        <v>53</v>
      </c>
      <c r="C36" t="s">
        <v>60</v>
      </c>
      <c r="D36" t="s">
        <v>76</v>
      </c>
      <c r="E36" t="str">
        <f t="shared" si="0"/>
        <v>FIN03</v>
      </c>
      <c r="F36" t="str">
        <f>_xlfn.XLOOKUP(E36,Lookup_Departments!A:A,Lookup_Departments!B:B)</f>
        <v>Finance</v>
      </c>
      <c r="G36" s="15">
        <v>42919</v>
      </c>
      <c r="H36" s="5">
        <v>113389</v>
      </c>
      <c r="I36">
        <v>30</v>
      </c>
      <c r="J36" t="str">
        <f>_xlfn.XLOOKUP(I36,Lookup_Performance!A:A, Lookup_Performance!C:C,  , -1)</f>
        <v>Needs Improvement</v>
      </c>
      <c r="K36" t="s">
        <v>17</v>
      </c>
      <c r="L36" t="str">
        <f t="shared" si="1"/>
        <v>ACTIVE</v>
      </c>
      <c r="M36">
        <f t="shared" ca="1" si="2"/>
        <v>9</v>
      </c>
      <c r="N36" s="10">
        <f>_xlfn.XLOOKUP(J:J,Lookup_Performance!C:C,Lookup_Performance!D:D, "Not Found")</f>
        <v>0</v>
      </c>
      <c r="O36" s="3">
        <f t="shared" si="3"/>
        <v>0</v>
      </c>
      <c r="P36" t="str">
        <f t="shared" si="4"/>
        <v>NO</v>
      </c>
    </row>
    <row r="37" spans="1:16" x14ac:dyDescent="0.25">
      <c r="A37" t="s">
        <v>100</v>
      </c>
      <c r="B37" t="s">
        <v>9</v>
      </c>
      <c r="C37" t="s">
        <v>10</v>
      </c>
      <c r="D37" t="s">
        <v>20</v>
      </c>
      <c r="E37" t="str">
        <f t="shared" si="0"/>
        <v>IT02</v>
      </c>
      <c r="F37" t="str">
        <f>_xlfn.XLOOKUP(E37,Lookup_Departments!A:A,Lookup_Departments!B:B)</f>
        <v>Information Technology</v>
      </c>
      <c r="G37" s="15">
        <v>42248</v>
      </c>
      <c r="H37" s="5">
        <v>102691</v>
      </c>
      <c r="I37">
        <v>52</v>
      </c>
      <c r="J37" t="str">
        <f>_xlfn.XLOOKUP(I37,Lookup_Performance!A:A, Lookup_Performance!C:C,  , -1)</f>
        <v>Developing</v>
      </c>
      <c r="K37" t="s">
        <v>45</v>
      </c>
      <c r="L37" t="str">
        <f t="shared" si="1"/>
        <v>ACTIVE</v>
      </c>
      <c r="M37">
        <f t="shared" ca="1" si="2"/>
        <v>10</v>
      </c>
      <c r="N37" s="10">
        <f>_xlfn.XLOOKUP(J:J,Lookup_Performance!C:C,Lookup_Performance!D:D, "Not Found")</f>
        <v>0.02</v>
      </c>
      <c r="O37" s="3">
        <f t="shared" si="3"/>
        <v>2053.8200000000002</v>
      </c>
      <c r="P37" t="str">
        <f t="shared" si="4"/>
        <v>NO</v>
      </c>
    </row>
    <row r="38" spans="1:16" x14ac:dyDescent="0.25">
      <c r="A38" t="s">
        <v>102</v>
      </c>
      <c r="B38" t="str">
        <f>B37</f>
        <v>Emily</v>
      </c>
      <c r="C38" t="s">
        <v>36</v>
      </c>
      <c r="D38" t="s">
        <v>33</v>
      </c>
      <c r="E38" t="str">
        <f t="shared" si="0"/>
        <v>OPS06</v>
      </c>
      <c r="F38" t="str">
        <f>_xlfn.XLOOKUP(E38,Lookup_Departments!A:A,Lookup_Departments!B:B)</f>
        <v>Operations</v>
      </c>
      <c r="G38" s="15">
        <v>44776</v>
      </c>
      <c r="H38" s="5">
        <v>111845</v>
      </c>
      <c r="I38">
        <v>98</v>
      </c>
      <c r="J38" t="str">
        <f>_xlfn.XLOOKUP(I38,Lookup_Performance!A:A, Lookup_Performance!C:C,  , -1)</f>
        <v>Outstanding</v>
      </c>
      <c r="K38" t="s">
        <v>12</v>
      </c>
      <c r="L38" t="str">
        <f t="shared" si="1"/>
        <v>ACTIVE</v>
      </c>
      <c r="M38">
        <f t="shared" ca="1" si="2"/>
        <v>3</v>
      </c>
      <c r="N38" s="10">
        <f>_xlfn.XLOOKUP(J:J,Lookup_Performance!C:C,Lookup_Performance!D:D, "Not Found")</f>
        <v>0.12</v>
      </c>
      <c r="O38" s="3">
        <f t="shared" si="3"/>
        <v>13421.4</v>
      </c>
      <c r="P38" t="str">
        <f t="shared" si="4"/>
        <v>NO</v>
      </c>
    </row>
    <row r="39" spans="1:16" x14ac:dyDescent="0.25">
      <c r="A39" t="s">
        <v>104</v>
      </c>
      <c r="B39" t="s">
        <v>24</v>
      </c>
      <c r="C39" t="s">
        <v>10</v>
      </c>
      <c r="D39" t="s">
        <v>79</v>
      </c>
      <c r="E39" t="str">
        <f t="shared" si="0"/>
        <v>SAL05</v>
      </c>
      <c r="F39" t="str">
        <f>_xlfn.XLOOKUP(E39,Lookup_Departments!A:A,Lookup_Departments!B:B)</f>
        <v>Sales</v>
      </c>
      <c r="G39" s="15">
        <v>44741</v>
      </c>
      <c r="H39" s="5">
        <v>69219</v>
      </c>
      <c r="I39">
        <v>93</v>
      </c>
      <c r="J39" t="str">
        <f>_xlfn.XLOOKUP(I39,Lookup_Performance!A:A, Lookup_Performance!C:C,  , -1)</f>
        <v>Exceeding</v>
      </c>
      <c r="K39" t="s">
        <v>45</v>
      </c>
      <c r="L39" t="str">
        <f t="shared" si="1"/>
        <v>ACTIVE</v>
      </c>
      <c r="M39">
        <f t="shared" ca="1" si="2"/>
        <v>4</v>
      </c>
      <c r="N39" s="10">
        <f>_xlfn.XLOOKUP(J:J,Lookup_Performance!C:C,Lookup_Performance!D:D, "Not Found")</f>
        <v>0.08</v>
      </c>
      <c r="O39" s="3">
        <f t="shared" si="3"/>
        <v>5537.52</v>
      </c>
      <c r="P39" t="str">
        <f t="shared" si="4"/>
        <v>NO</v>
      </c>
    </row>
    <row r="40" spans="1:16" x14ac:dyDescent="0.25">
      <c r="A40" t="s">
        <v>107</v>
      </c>
      <c r="B40" t="s">
        <v>105</v>
      </c>
      <c r="C40" t="s">
        <v>29</v>
      </c>
      <c r="D40" t="s">
        <v>26</v>
      </c>
      <c r="E40" t="str">
        <f t="shared" si="0"/>
        <v>FIN03</v>
      </c>
      <c r="F40" t="str">
        <f>_xlfn.XLOOKUP(E40,Lookup_Departments!A:A,Lookup_Departments!B:B)</f>
        <v>Finance</v>
      </c>
      <c r="G40" s="15">
        <v>43949</v>
      </c>
      <c r="H40" s="5">
        <v>83603.929999999993</v>
      </c>
      <c r="I40">
        <v>80</v>
      </c>
      <c r="J40" t="str">
        <f>_xlfn.XLOOKUP(I40,Lookup_Performance!A:A, Lookup_Performance!C:C,  , -1)</f>
        <v>Achieving</v>
      </c>
      <c r="K40" t="s">
        <v>108</v>
      </c>
      <c r="L40" t="str">
        <f t="shared" si="1"/>
        <v>LEFT</v>
      </c>
      <c r="M40">
        <f t="shared" ca="1" si="2"/>
        <v>6</v>
      </c>
      <c r="N40" s="10">
        <f>_xlfn.XLOOKUP(J:J,Lookup_Performance!C:C,Lookup_Performance!D:D, "Not Found")</f>
        <v>0.05</v>
      </c>
      <c r="O40" s="3">
        <f t="shared" si="3"/>
        <v>4180.1965</v>
      </c>
      <c r="P40" t="str">
        <f t="shared" si="4"/>
        <v>YES</v>
      </c>
    </row>
    <row r="41" spans="1:16" x14ac:dyDescent="0.25">
      <c r="A41" t="s">
        <v>109</v>
      </c>
      <c r="B41" t="s">
        <v>43</v>
      </c>
      <c r="C41" t="s">
        <v>47</v>
      </c>
      <c r="D41" t="s">
        <v>33</v>
      </c>
      <c r="E41" t="str">
        <f t="shared" si="0"/>
        <v>OPS06</v>
      </c>
      <c r="F41" t="str">
        <f>_xlfn.XLOOKUP(E41,Lookup_Departments!A:A,Lookup_Departments!B:B)</f>
        <v>Operations</v>
      </c>
      <c r="G41" s="15">
        <v>42987</v>
      </c>
      <c r="H41" s="5">
        <v>57514</v>
      </c>
      <c r="I41">
        <v>68</v>
      </c>
      <c r="J41" t="str">
        <f>_xlfn.XLOOKUP(I41,Lookup_Performance!A:A, Lookup_Performance!C:C,  , -1)</f>
        <v>Developing</v>
      </c>
      <c r="K41" t="s">
        <v>12</v>
      </c>
      <c r="L41" t="str">
        <f t="shared" si="1"/>
        <v>ACTIVE</v>
      </c>
      <c r="M41">
        <f t="shared" ca="1" si="2"/>
        <v>8</v>
      </c>
      <c r="N41" s="10">
        <f>_xlfn.XLOOKUP(J:J,Lookup_Performance!C:C,Lookup_Performance!D:D, "Not Found")</f>
        <v>0.02</v>
      </c>
      <c r="O41" s="3">
        <f t="shared" si="3"/>
        <v>1150.28</v>
      </c>
      <c r="P41" t="str">
        <f t="shared" si="4"/>
        <v>NO</v>
      </c>
    </row>
    <row r="42" spans="1:16" x14ac:dyDescent="0.25">
      <c r="A42" t="s">
        <v>111</v>
      </c>
      <c r="B42" t="s">
        <v>94</v>
      </c>
      <c r="C42" t="s">
        <v>36</v>
      </c>
      <c r="D42" t="s">
        <v>44</v>
      </c>
      <c r="E42" t="str">
        <f t="shared" si="0"/>
        <v>SAL05</v>
      </c>
      <c r="F42" t="str">
        <f>_xlfn.XLOOKUP(E42,Lookup_Departments!A:A,Lookup_Departments!B:B)</f>
        <v>Sales</v>
      </c>
      <c r="G42" s="15">
        <v>43181</v>
      </c>
      <c r="H42" s="5">
        <v>86245</v>
      </c>
      <c r="I42">
        <v>71</v>
      </c>
      <c r="J42" t="str">
        <f>_xlfn.XLOOKUP(I42,Lookup_Performance!A:A, Lookup_Performance!C:C,  , -1)</f>
        <v>Achieving</v>
      </c>
      <c r="K42" t="s">
        <v>22</v>
      </c>
      <c r="L42" t="str">
        <f t="shared" si="1"/>
        <v>LEFT</v>
      </c>
      <c r="M42">
        <f t="shared" ca="1" si="2"/>
        <v>8</v>
      </c>
      <c r="N42" s="10">
        <f>_xlfn.XLOOKUP(J:J,Lookup_Performance!C:C,Lookup_Performance!D:D, "Not Found")</f>
        <v>0.05</v>
      </c>
      <c r="O42" s="3">
        <f t="shared" si="3"/>
        <v>4312.25</v>
      </c>
      <c r="P42" t="str">
        <f t="shared" si="4"/>
        <v>YES</v>
      </c>
    </row>
    <row r="43" spans="1:16" x14ac:dyDescent="0.25">
      <c r="A43" t="s">
        <v>112</v>
      </c>
      <c r="B43" t="s">
        <v>9</v>
      </c>
      <c r="C43" t="s">
        <v>15</v>
      </c>
      <c r="D43" t="s">
        <v>44</v>
      </c>
      <c r="E43" t="str">
        <f t="shared" si="0"/>
        <v>SAL05</v>
      </c>
      <c r="F43" t="str">
        <f>_xlfn.XLOOKUP(E43,Lookup_Departments!A:A,Lookup_Departments!B:B)</f>
        <v>Sales</v>
      </c>
      <c r="G43" s="15">
        <v>43958</v>
      </c>
      <c r="H43" s="5">
        <v>52407</v>
      </c>
      <c r="I43">
        <v>55</v>
      </c>
      <c r="J43" t="str">
        <f>_xlfn.XLOOKUP(I43,Lookup_Performance!A:A, Lookup_Performance!C:C,  , -1)</f>
        <v>Developing</v>
      </c>
      <c r="K43" t="s">
        <v>12</v>
      </c>
      <c r="L43" t="str">
        <f t="shared" si="1"/>
        <v>ACTIVE</v>
      </c>
      <c r="M43">
        <f t="shared" ca="1" si="2"/>
        <v>6</v>
      </c>
      <c r="N43" s="10">
        <f>_xlfn.XLOOKUP(J:J,Lookup_Performance!C:C,Lookup_Performance!D:D, "Not Found")</f>
        <v>0.02</v>
      </c>
      <c r="O43" s="3">
        <f t="shared" si="3"/>
        <v>1048.1400000000001</v>
      </c>
      <c r="P43" t="str">
        <f t="shared" si="4"/>
        <v>NO</v>
      </c>
    </row>
    <row r="44" spans="1:16" x14ac:dyDescent="0.25">
      <c r="A44" t="s">
        <v>114</v>
      </c>
      <c r="B44" t="s">
        <v>113</v>
      </c>
      <c r="C44" t="s">
        <v>29</v>
      </c>
      <c r="D44" t="s">
        <v>37</v>
      </c>
      <c r="E44" t="str">
        <f t="shared" si="0"/>
        <v>OPS06</v>
      </c>
      <c r="F44" t="str">
        <f>_xlfn.XLOOKUP(E44,Lookup_Departments!A:A,Lookup_Departments!B:B)</f>
        <v>Operations</v>
      </c>
      <c r="G44" s="15">
        <v>43549</v>
      </c>
      <c r="H44" s="5">
        <v>66606</v>
      </c>
      <c r="I44">
        <v>93</v>
      </c>
      <c r="J44" t="str">
        <f>_xlfn.XLOOKUP(I44,Lookup_Performance!A:A, Lookup_Performance!C:C,  , -1)</f>
        <v>Exceeding</v>
      </c>
      <c r="K44" t="s">
        <v>116</v>
      </c>
      <c r="L44" t="str">
        <f t="shared" si="1"/>
        <v>RESIGNED</v>
      </c>
      <c r="M44">
        <f t="shared" ca="1" si="2"/>
        <v>7</v>
      </c>
      <c r="N44" s="10">
        <f>_xlfn.XLOOKUP(J:J,Lookup_Performance!C:C,Lookup_Performance!D:D, "Not Found")</f>
        <v>0.08</v>
      </c>
      <c r="O44" s="3">
        <f t="shared" si="3"/>
        <v>5328.4800000000005</v>
      </c>
      <c r="P44" t="str">
        <f t="shared" si="4"/>
        <v>YES</v>
      </c>
    </row>
    <row r="45" spans="1:16" x14ac:dyDescent="0.25">
      <c r="A45" t="s">
        <v>117</v>
      </c>
      <c r="B45" t="s">
        <v>66</v>
      </c>
      <c r="C45" t="s">
        <v>54</v>
      </c>
      <c r="D45" t="s">
        <v>11</v>
      </c>
      <c r="E45" t="str">
        <f t="shared" si="0"/>
        <v>IT02</v>
      </c>
      <c r="F45" t="str">
        <f>_xlfn.XLOOKUP(E45,Lookup_Departments!A:A,Lookup_Departments!B:B)</f>
        <v>Information Technology</v>
      </c>
      <c r="G45" s="15">
        <v>43686</v>
      </c>
      <c r="H45" s="5">
        <v>81896</v>
      </c>
      <c r="I45">
        <v>79</v>
      </c>
      <c r="J45" t="str">
        <f>_xlfn.XLOOKUP(I45,Lookup_Performance!A:A, Lookup_Performance!C:C,  , -1)</f>
        <v>Achieving</v>
      </c>
      <c r="K45" t="s">
        <v>116</v>
      </c>
      <c r="L45" t="str">
        <f t="shared" si="1"/>
        <v>RESIGNED</v>
      </c>
      <c r="M45">
        <f t="shared" ca="1" si="2"/>
        <v>6</v>
      </c>
      <c r="N45" s="10">
        <f>_xlfn.XLOOKUP(J:J,Lookup_Performance!C:C,Lookup_Performance!D:D, "Not Found")</f>
        <v>0.05</v>
      </c>
      <c r="O45" s="3">
        <f t="shared" si="3"/>
        <v>4094.8</v>
      </c>
      <c r="P45" t="str">
        <f t="shared" si="4"/>
        <v>YES</v>
      </c>
    </row>
    <row r="46" spans="1:16" x14ac:dyDescent="0.25">
      <c r="A46" t="s">
        <v>118</v>
      </c>
      <c r="B46" t="s">
        <v>94</v>
      </c>
      <c r="C46" t="s">
        <v>69</v>
      </c>
      <c r="D46" t="s">
        <v>44</v>
      </c>
      <c r="E46" t="str">
        <f t="shared" si="0"/>
        <v>SAL05</v>
      </c>
      <c r="F46" t="str">
        <f>_xlfn.XLOOKUP(E46,Lookup_Departments!A:A,Lookup_Departments!B:B)</f>
        <v>Sales</v>
      </c>
      <c r="G46" s="15">
        <v>42565</v>
      </c>
      <c r="H46" s="5">
        <v>78402</v>
      </c>
      <c r="I46">
        <v>54</v>
      </c>
      <c r="J46" t="str">
        <f>_xlfn.XLOOKUP(I46,Lookup_Performance!A:A, Lookup_Performance!C:C,  , -1)</f>
        <v>Developing</v>
      </c>
      <c r="K46" t="s">
        <v>17</v>
      </c>
      <c r="L46" t="str">
        <f t="shared" si="1"/>
        <v>ACTIVE</v>
      </c>
      <c r="M46">
        <f t="shared" ca="1" si="2"/>
        <v>9</v>
      </c>
      <c r="N46" s="10">
        <f>_xlfn.XLOOKUP(J:J,Lookup_Performance!C:C,Lookup_Performance!D:D, "Not Found")</f>
        <v>0.02</v>
      </c>
      <c r="O46" s="3">
        <f t="shared" si="3"/>
        <v>1568.04</v>
      </c>
      <c r="P46" t="str">
        <f t="shared" si="4"/>
        <v>NO</v>
      </c>
    </row>
    <row r="47" spans="1:16" x14ac:dyDescent="0.25">
      <c r="A47" t="s">
        <v>120</v>
      </c>
      <c r="B47" t="s">
        <v>71</v>
      </c>
      <c r="C47" t="s">
        <v>69</v>
      </c>
      <c r="D47" t="s">
        <v>37</v>
      </c>
      <c r="E47" t="str">
        <f t="shared" si="0"/>
        <v>OPS06</v>
      </c>
      <c r="F47" t="str">
        <f>_xlfn.XLOOKUP(E47,Lookup_Departments!A:A,Lookup_Departments!B:B)</f>
        <v>Operations</v>
      </c>
      <c r="G47" s="15">
        <v>42647</v>
      </c>
      <c r="H47" s="5">
        <v>105498</v>
      </c>
      <c r="I47">
        <v>76</v>
      </c>
      <c r="J47" t="str">
        <f>_xlfn.XLOOKUP(I47,Lookup_Performance!A:A, Lookup_Performance!C:C,  , -1)</f>
        <v>Achieving</v>
      </c>
      <c r="K47" t="s">
        <v>12</v>
      </c>
      <c r="L47" t="str">
        <f t="shared" si="1"/>
        <v>ACTIVE</v>
      </c>
      <c r="M47">
        <f t="shared" ca="1" si="2"/>
        <v>9</v>
      </c>
      <c r="N47" s="10">
        <f>_xlfn.XLOOKUP(J:J,Lookup_Performance!C:C,Lookup_Performance!D:D, "Not Found")</f>
        <v>0.05</v>
      </c>
      <c r="O47" s="3">
        <f t="shared" si="3"/>
        <v>5274.9000000000005</v>
      </c>
      <c r="P47" t="str">
        <f t="shared" si="4"/>
        <v>NO</v>
      </c>
    </row>
    <row r="48" spans="1:16" x14ac:dyDescent="0.25">
      <c r="A48" t="s">
        <v>121</v>
      </c>
      <c r="B48" t="s">
        <v>28</v>
      </c>
      <c r="C48" t="s">
        <v>32</v>
      </c>
      <c r="D48" t="s">
        <v>16</v>
      </c>
      <c r="E48" t="str">
        <f t="shared" si="0"/>
        <v>MKT04</v>
      </c>
      <c r="F48" t="str">
        <f>_xlfn.XLOOKUP(E48,Lookup_Departments!A:A,Lookup_Departments!B:B)</f>
        <v>Marketing</v>
      </c>
      <c r="G48" s="15">
        <v>43656</v>
      </c>
      <c r="H48" s="5">
        <v>91749</v>
      </c>
      <c r="I48">
        <v>72</v>
      </c>
      <c r="J48" t="str">
        <f>_xlfn.XLOOKUP(I48,Lookup_Performance!A:A, Lookup_Performance!C:C,  , -1)</f>
        <v>Achieving</v>
      </c>
      <c r="K48" t="s">
        <v>108</v>
      </c>
      <c r="L48" t="str">
        <f t="shared" si="1"/>
        <v>LEFT</v>
      </c>
      <c r="M48">
        <f ca="1">DATEDIF(G48, TODAY(), "Y")</f>
        <v>6</v>
      </c>
      <c r="N48" s="10">
        <f>_xlfn.XLOOKUP(J:J,Lookup_Performance!C:C,Lookup_Performance!D:D, "Not Found")</f>
        <v>0.05</v>
      </c>
      <c r="O48" s="3">
        <f t="shared" si="3"/>
        <v>4587.45</v>
      </c>
      <c r="P48" t="str">
        <f t="shared" si="4"/>
        <v>YES</v>
      </c>
    </row>
    <row r="49" spans="1:16" x14ac:dyDescent="0.25">
      <c r="A49" t="s">
        <v>123</v>
      </c>
      <c r="B49" t="s">
        <v>105</v>
      </c>
      <c r="C49" t="s">
        <v>32</v>
      </c>
      <c r="D49" t="s">
        <v>37</v>
      </c>
      <c r="E49" t="str">
        <f t="shared" si="0"/>
        <v>OPS06</v>
      </c>
      <c r="F49" t="str">
        <f>_xlfn.XLOOKUP(E49,Lookup_Departments!A:A,Lookup_Departments!B:B)</f>
        <v>Operations</v>
      </c>
      <c r="G49" s="15">
        <v>44437</v>
      </c>
      <c r="H49" s="5">
        <v>99935</v>
      </c>
      <c r="I49">
        <v>84</v>
      </c>
      <c r="J49" t="str">
        <f>_xlfn.XLOOKUP(I49,Lookup_Performance!A:A, Lookup_Performance!C:C,  , -1)</f>
        <v>Achieving</v>
      </c>
      <c r="K49" t="s">
        <v>116</v>
      </c>
      <c r="L49" t="str">
        <f t="shared" si="1"/>
        <v>RESIGNED</v>
      </c>
      <c r="M49">
        <f t="shared" ref="M49:M66" ca="1" si="5">DATEDIF(G49, TODAY(), "Y")</f>
        <v>4</v>
      </c>
      <c r="N49" s="10">
        <f>_xlfn.XLOOKUP(J:J,Lookup_Performance!C:C,Lookup_Performance!D:D, "Not Found")</f>
        <v>0.05</v>
      </c>
      <c r="O49" s="3">
        <f t="shared" si="3"/>
        <v>4996.75</v>
      </c>
      <c r="P49" t="str">
        <f t="shared" si="4"/>
        <v>YES</v>
      </c>
    </row>
    <row r="50" spans="1:16" x14ac:dyDescent="0.25">
      <c r="A50" t="s">
        <v>124</v>
      </c>
      <c r="B50" t="s">
        <v>71</v>
      </c>
      <c r="C50" t="s">
        <v>64</v>
      </c>
      <c r="D50" t="s">
        <v>20</v>
      </c>
      <c r="E50" t="str">
        <f t="shared" si="0"/>
        <v>IT02</v>
      </c>
      <c r="F50" t="str">
        <f>_xlfn.XLOOKUP(E50,Lookup_Departments!A:A,Lookup_Departments!B:B)</f>
        <v>Information Technology</v>
      </c>
      <c r="G50" s="15">
        <v>42761</v>
      </c>
      <c r="H50" s="5">
        <v>83531</v>
      </c>
      <c r="I50">
        <v>30</v>
      </c>
      <c r="J50" t="str">
        <f>_xlfn.XLOOKUP(I50,Lookup_Performance!A:A, Lookup_Performance!C:C,  , -1)</f>
        <v>Needs Improvement</v>
      </c>
      <c r="K50" t="s">
        <v>108</v>
      </c>
      <c r="L50" t="str">
        <f t="shared" si="1"/>
        <v>LEFT</v>
      </c>
      <c r="M50">
        <f t="shared" ca="1" si="5"/>
        <v>9</v>
      </c>
      <c r="N50" s="10">
        <f>_xlfn.XLOOKUP(J:J,Lookup_Performance!C:C,Lookup_Performance!D:D, "Not Found")</f>
        <v>0</v>
      </c>
      <c r="O50" s="3">
        <f t="shared" si="3"/>
        <v>0</v>
      </c>
      <c r="P50" t="str">
        <f t="shared" si="4"/>
        <v>YES</v>
      </c>
    </row>
    <row r="51" spans="1:16" x14ac:dyDescent="0.25">
      <c r="A51" t="s">
        <v>125</v>
      </c>
      <c r="B51" t="s">
        <v>24</v>
      </c>
      <c r="C51" t="s">
        <v>32</v>
      </c>
      <c r="D51" t="s">
        <v>55</v>
      </c>
      <c r="E51" t="str">
        <f t="shared" si="0"/>
        <v>MKT04</v>
      </c>
      <c r="F51" t="str">
        <f>_xlfn.XLOOKUP(E51,Lookup_Departments!A:A,Lookup_Departments!B:B)</f>
        <v>Marketing</v>
      </c>
      <c r="G51" s="15">
        <v>43981</v>
      </c>
      <c r="H51" s="5">
        <v>75023</v>
      </c>
      <c r="I51">
        <v>68</v>
      </c>
      <c r="J51" t="str">
        <f>_xlfn.XLOOKUP(I51,Lookup_Performance!A:A, Lookup_Performance!C:C,  , -1)</f>
        <v>Developing</v>
      </c>
      <c r="K51" t="s">
        <v>17</v>
      </c>
      <c r="L51" t="str">
        <f t="shared" si="1"/>
        <v>ACTIVE</v>
      </c>
      <c r="M51">
        <f t="shared" ca="1" si="5"/>
        <v>6</v>
      </c>
      <c r="N51" s="10">
        <f>_xlfn.XLOOKUP(J:J,Lookup_Performance!C:C,Lookup_Performance!D:D, "Not Found")</f>
        <v>0.02</v>
      </c>
      <c r="O51" s="3">
        <f t="shared" si="3"/>
        <v>1500.46</v>
      </c>
      <c r="P51" t="str">
        <f t="shared" si="4"/>
        <v>NO</v>
      </c>
    </row>
    <row r="52" spans="1:16" x14ac:dyDescent="0.25">
      <c r="A52" t="s">
        <v>127</v>
      </c>
      <c r="B52" t="s">
        <v>66</v>
      </c>
      <c r="C52" t="s">
        <v>64</v>
      </c>
      <c r="D52" t="s">
        <v>97</v>
      </c>
      <c r="E52" t="str">
        <f t="shared" si="0"/>
        <v>HR01</v>
      </c>
      <c r="F52" t="str">
        <f>_xlfn.XLOOKUP(E52,Lookup_Departments!A:A,Lookup_Departments!B:B)</f>
        <v>Human Resources</v>
      </c>
      <c r="G52" s="15">
        <v>44612</v>
      </c>
      <c r="H52" s="5">
        <v>93290</v>
      </c>
      <c r="I52">
        <v>53</v>
      </c>
      <c r="J52" t="str">
        <f>_xlfn.XLOOKUP(I52,Lookup_Performance!A:A, Lookup_Performance!C:C,  , -1)</f>
        <v>Developing</v>
      </c>
      <c r="K52" t="s">
        <v>17</v>
      </c>
      <c r="L52" t="str">
        <f t="shared" si="1"/>
        <v>ACTIVE</v>
      </c>
      <c r="M52">
        <f t="shared" ca="1" si="5"/>
        <v>4</v>
      </c>
      <c r="N52" s="10">
        <f>_xlfn.XLOOKUP(J:J,Lookup_Performance!C:C,Lookup_Performance!D:D, "Not Found")</f>
        <v>0.02</v>
      </c>
      <c r="O52" s="3">
        <f t="shared" si="3"/>
        <v>1865.8</v>
      </c>
      <c r="P52" t="str">
        <f t="shared" si="4"/>
        <v>NO</v>
      </c>
    </row>
    <row r="53" spans="1:16" x14ac:dyDescent="0.25">
      <c r="A53" t="s">
        <v>128</v>
      </c>
      <c r="B53" t="s">
        <v>53</v>
      </c>
      <c r="C53" t="s">
        <v>64</v>
      </c>
      <c r="D53" t="s">
        <v>33</v>
      </c>
      <c r="E53" t="str">
        <f t="shared" si="0"/>
        <v>OPS06</v>
      </c>
      <c r="F53" t="str">
        <f>_xlfn.XLOOKUP(E53,Lookup_Departments!A:A,Lookup_Departments!B:B)</f>
        <v>Operations</v>
      </c>
      <c r="G53" s="15">
        <v>42628</v>
      </c>
      <c r="H53" s="5">
        <v>115527</v>
      </c>
      <c r="I53">
        <v>63</v>
      </c>
      <c r="J53" t="str">
        <f>_xlfn.XLOOKUP(I53,Lookup_Performance!A:A, Lookup_Performance!C:C,  , -1)</f>
        <v>Developing</v>
      </c>
      <c r="K53" t="s">
        <v>116</v>
      </c>
      <c r="L53" t="str">
        <f t="shared" si="1"/>
        <v>RESIGNED</v>
      </c>
      <c r="M53">
        <f t="shared" ca="1" si="5"/>
        <v>9</v>
      </c>
      <c r="N53" s="10">
        <f>_xlfn.XLOOKUP(J:J,Lookup_Performance!C:C,Lookup_Performance!D:D, "Not Found")</f>
        <v>0.02</v>
      </c>
      <c r="O53" s="3">
        <f t="shared" si="3"/>
        <v>2310.54</v>
      </c>
      <c r="P53" t="str">
        <f t="shared" si="4"/>
        <v>YES</v>
      </c>
    </row>
    <row r="54" spans="1:16" x14ac:dyDescent="0.25">
      <c r="A54" t="s">
        <v>129</v>
      </c>
      <c r="B54" t="s">
        <v>14</v>
      </c>
      <c r="C54" t="s">
        <v>41</v>
      </c>
      <c r="D54" t="s">
        <v>76</v>
      </c>
      <c r="E54" t="str">
        <f t="shared" si="0"/>
        <v>FIN03</v>
      </c>
      <c r="F54" t="str">
        <f>_xlfn.XLOOKUP(E54,Lookup_Departments!A:A,Lookup_Departments!B:B)</f>
        <v>Finance</v>
      </c>
      <c r="G54" s="15">
        <v>43745</v>
      </c>
      <c r="H54" s="5">
        <v>55920</v>
      </c>
      <c r="I54">
        <v>84</v>
      </c>
      <c r="J54" t="str">
        <f>_xlfn.XLOOKUP(I54,Lookup_Performance!A:A, Lookup_Performance!C:C,  , -1)</f>
        <v>Achieving</v>
      </c>
      <c r="K54" t="s">
        <v>45</v>
      </c>
      <c r="L54" t="str">
        <f t="shared" si="1"/>
        <v>ACTIVE</v>
      </c>
      <c r="M54">
        <f t="shared" ca="1" si="5"/>
        <v>6</v>
      </c>
      <c r="N54" s="10">
        <f>_xlfn.XLOOKUP(J:J,Lookup_Performance!C:C,Lookup_Performance!D:D, "Not Found")</f>
        <v>0.05</v>
      </c>
      <c r="O54" s="3">
        <f t="shared" si="3"/>
        <v>2796</v>
      </c>
      <c r="P54" t="str">
        <f t="shared" si="4"/>
        <v>NO</v>
      </c>
    </row>
    <row r="55" spans="1:16" x14ac:dyDescent="0.25">
      <c r="A55" t="s">
        <v>131</v>
      </c>
      <c r="B55" t="s">
        <v>28</v>
      </c>
      <c r="C55" t="s">
        <v>32</v>
      </c>
      <c r="D55" t="s">
        <v>44</v>
      </c>
      <c r="E55" t="str">
        <f t="shared" si="0"/>
        <v>SAL05</v>
      </c>
      <c r="F55" t="str">
        <f>_xlfn.XLOOKUP(E55,Lookup_Departments!A:A,Lookup_Departments!B:B)</f>
        <v>Sales</v>
      </c>
      <c r="G55" s="15">
        <v>43464</v>
      </c>
      <c r="H55" s="5">
        <v>80189</v>
      </c>
      <c r="I55">
        <v>30</v>
      </c>
      <c r="J55" t="str">
        <f>_xlfn.XLOOKUP(I55,Lookup_Performance!A:A, Lookup_Performance!C:C,  , -1)</f>
        <v>Needs Improvement</v>
      </c>
      <c r="K55" t="s">
        <v>45</v>
      </c>
      <c r="L55" t="str">
        <f t="shared" si="1"/>
        <v>ACTIVE</v>
      </c>
      <c r="M55">
        <f t="shared" ca="1" si="5"/>
        <v>7</v>
      </c>
      <c r="N55" s="10">
        <f>_xlfn.XLOOKUP(J:J,Lookup_Performance!C:C,Lookup_Performance!D:D, "Not Found")</f>
        <v>0</v>
      </c>
      <c r="O55" s="3">
        <f t="shared" si="3"/>
        <v>0</v>
      </c>
      <c r="P55" t="str">
        <f t="shared" si="4"/>
        <v>NO</v>
      </c>
    </row>
    <row r="56" spans="1:16" x14ac:dyDescent="0.25">
      <c r="A56" t="s">
        <v>132</v>
      </c>
      <c r="B56" t="s">
        <v>9</v>
      </c>
      <c r="C56" t="s">
        <v>133</v>
      </c>
      <c r="D56" t="s">
        <v>97</v>
      </c>
      <c r="E56" t="str">
        <f t="shared" si="0"/>
        <v>HR01</v>
      </c>
      <c r="F56" t="str">
        <f>_xlfn.XLOOKUP(E56,Lookup_Departments!A:A,Lookup_Departments!B:B)</f>
        <v>Human Resources</v>
      </c>
      <c r="G56" s="15">
        <v>44189</v>
      </c>
      <c r="H56" s="5">
        <v>118947</v>
      </c>
      <c r="I56">
        <v>96</v>
      </c>
      <c r="J56" t="str">
        <f>_xlfn.XLOOKUP(I56,Lookup_Performance!A:A, Lookup_Performance!C:C,  , -1)</f>
        <v>Outstanding</v>
      </c>
      <c r="K56" t="s">
        <v>12</v>
      </c>
      <c r="L56" t="str">
        <f t="shared" si="1"/>
        <v>ACTIVE</v>
      </c>
      <c r="M56">
        <f t="shared" ca="1" si="5"/>
        <v>5</v>
      </c>
      <c r="N56" s="10">
        <f>_xlfn.XLOOKUP(J:J,Lookup_Performance!C:C,Lookup_Performance!D:D, "Not Found")</f>
        <v>0.12</v>
      </c>
      <c r="O56" s="3">
        <f t="shared" si="3"/>
        <v>14273.64</v>
      </c>
      <c r="P56" t="str">
        <f t="shared" si="4"/>
        <v>NO</v>
      </c>
    </row>
    <row r="57" spans="1:16" x14ac:dyDescent="0.25">
      <c r="A57" t="s">
        <v>134</v>
      </c>
      <c r="B57" t="s">
        <v>9</v>
      </c>
      <c r="C57" t="s">
        <v>135</v>
      </c>
      <c r="D57" t="s">
        <v>11</v>
      </c>
      <c r="E57" t="str">
        <f t="shared" si="0"/>
        <v>IT02</v>
      </c>
      <c r="F57" t="str">
        <f>_xlfn.XLOOKUP(E57,Lookup_Departments!A:A,Lookup_Departments!B:B)</f>
        <v>Information Technology</v>
      </c>
      <c r="G57" s="15">
        <v>45112</v>
      </c>
      <c r="H57" s="5">
        <v>83603.929999999993</v>
      </c>
      <c r="I57">
        <v>54</v>
      </c>
      <c r="J57" t="str">
        <f>_xlfn.XLOOKUP(I57,Lookup_Performance!A:A, Lookup_Performance!C:C,  , -1)</f>
        <v>Developing</v>
      </c>
      <c r="K57" t="s">
        <v>45</v>
      </c>
      <c r="L57" t="str">
        <f t="shared" si="1"/>
        <v>ACTIVE</v>
      </c>
      <c r="M57">
        <f t="shared" ca="1" si="5"/>
        <v>3</v>
      </c>
      <c r="N57" s="10">
        <f>_xlfn.XLOOKUP(J:J,Lookup_Performance!C:C,Lookup_Performance!D:D, "Not Found")</f>
        <v>0.02</v>
      </c>
      <c r="O57" s="3">
        <f t="shared" si="3"/>
        <v>1672.0785999999998</v>
      </c>
      <c r="P57" t="str">
        <f t="shared" si="4"/>
        <v>NO</v>
      </c>
    </row>
    <row r="58" spans="1:16" x14ac:dyDescent="0.25">
      <c r="A58" t="s">
        <v>136</v>
      </c>
      <c r="B58" t="s">
        <v>53</v>
      </c>
      <c r="C58" t="s">
        <v>133</v>
      </c>
      <c r="D58" t="s">
        <v>37</v>
      </c>
      <c r="E58" t="str">
        <f t="shared" si="0"/>
        <v>OPS06</v>
      </c>
      <c r="F58" t="str">
        <f>_xlfn.XLOOKUP(E58,Lookup_Departments!A:A,Lookup_Departments!B:B)</f>
        <v>Operations</v>
      </c>
      <c r="G58" s="15">
        <v>44148</v>
      </c>
      <c r="H58" s="5">
        <v>83603.929999999993</v>
      </c>
      <c r="I58">
        <v>75</v>
      </c>
      <c r="J58" t="str">
        <f>_xlfn.XLOOKUP(I58,Lookup_Performance!A:A, Lookup_Performance!C:C,  , -1)</f>
        <v>Achieving</v>
      </c>
      <c r="K58" t="s">
        <v>45</v>
      </c>
      <c r="L58" t="str">
        <f t="shared" si="1"/>
        <v>ACTIVE</v>
      </c>
      <c r="M58">
        <f t="shared" ca="1" si="5"/>
        <v>5</v>
      </c>
      <c r="N58" s="10">
        <f>_xlfn.XLOOKUP(J:J,Lookup_Performance!C:C,Lookup_Performance!D:D, "Not Found")</f>
        <v>0.05</v>
      </c>
      <c r="O58" s="3">
        <f t="shared" si="3"/>
        <v>4180.1965</v>
      </c>
      <c r="P58" t="str">
        <f t="shared" si="4"/>
        <v>NO</v>
      </c>
    </row>
    <row r="59" spans="1:16" x14ac:dyDescent="0.25">
      <c r="A59" t="s">
        <v>137</v>
      </c>
      <c r="B59" t="s">
        <v>28</v>
      </c>
      <c r="C59" t="s">
        <v>25</v>
      </c>
      <c r="D59" t="s">
        <v>138</v>
      </c>
      <c r="E59" t="str">
        <f t="shared" si="0"/>
        <v>HR01</v>
      </c>
      <c r="F59" t="str">
        <f>_xlfn.XLOOKUP(E59,Lookup_Departments!A:A,Lookup_Departments!B:B)</f>
        <v>Human Resources</v>
      </c>
      <c r="G59" s="15">
        <v>43138</v>
      </c>
      <c r="H59" s="5">
        <v>91655</v>
      </c>
      <c r="I59">
        <v>95</v>
      </c>
      <c r="J59" t="str">
        <f>_xlfn.XLOOKUP(I59,Lookup_Performance!A:A, Lookup_Performance!C:C,  , -1)</f>
        <v>Outstanding</v>
      </c>
      <c r="K59" t="s">
        <v>45</v>
      </c>
      <c r="L59" t="str">
        <f t="shared" si="1"/>
        <v>ACTIVE</v>
      </c>
      <c r="M59">
        <f t="shared" ca="1" si="5"/>
        <v>8</v>
      </c>
      <c r="N59" s="10">
        <f>_xlfn.XLOOKUP(J:J,Lookup_Performance!C:C,Lookup_Performance!D:D, "Not Found")</f>
        <v>0.12</v>
      </c>
      <c r="O59" s="3">
        <f t="shared" si="3"/>
        <v>10998.6</v>
      </c>
      <c r="P59" t="str">
        <f t="shared" si="4"/>
        <v>NO</v>
      </c>
    </row>
    <row r="60" spans="1:16" x14ac:dyDescent="0.25">
      <c r="A60" t="s">
        <v>140</v>
      </c>
      <c r="B60" t="s">
        <v>113</v>
      </c>
      <c r="C60" t="s">
        <v>10</v>
      </c>
      <c r="D60" t="s">
        <v>11</v>
      </c>
      <c r="E60" t="str">
        <f t="shared" si="0"/>
        <v>IT02</v>
      </c>
      <c r="F60" t="str">
        <f>_xlfn.XLOOKUP(E60,Lookup_Departments!A:A,Lookup_Departments!B:B)</f>
        <v>Information Technology</v>
      </c>
      <c r="G60" s="15">
        <v>45255</v>
      </c>
      <c r="H60" s="5">
        <v>49435</v>
      </c>
      <c r="I60">
        <v>68</v>
      </c>
      <c r="J60" t="str">
        <f>_xlfn.XLOOKUP(I60,Lookup_Performance!A:A, Lookup_Performance!C:C,  , -1)</f>
        <v>Developing</v>
      </c>
      <c r="K60" t="s">
        <v>108</v>
      </c>
      <c r="L60" t="str">
        <f t="shared" si="1"/>
        <v>LEFT</v>
      </c>
      <c r="M60">
        <f t="shared" ca="1" si="5"/>
        <v>2</v>
      </c>
      <c r="N60" s="10">
        <f>_xlfn.XLOOKUP(J:J,Lookup_Performance!C:C,Lookup_Performance!D:D, "Not Found")</f>
        <v>0.02</v>
      </c>
      <c r="O60" s="3">
        <f t="shared" si="3"/>
        <v>988.7</v>
      </c>
      <c r="P60" t="str">
        <f t="shared" si="4"/>
        <v>YES</v>
      </c>
    </row>
    <row r="61" spans="1:16" x14ac:dyDescent="0.25">
      <c r="A61" t="s">
        <v>141</v>
      </c>
      <c r="B61" t="s">
        <v>9</v>
      </c>
      <c r="C61" t="s">
        <v>36</v>
      </c>
      <c r="D61" t="s">
        <v>48</v>
      </c>
      <c r="E61" t="str">
        <f t="shared" si="0"/>
        <v>SAL05</v>
      </c>
      <c r="F61" t="str">
        <f>_xlfn.XLOOKUP(E61,Lookup_Departments!A:A,Lookup_Departments!B:B)</f>
        <v>Sales</v>
      </c>
      <c r="G61" s="15">
        <v>45217</v>
      </c>
      <c r="H61" s="5">
        <v>110381</v>
      </c>
      <c r="I61">
        <v>93</v>
      </c>
      <c r="J61" t="str">
        <f>_xlfn.XLOOKUP(I61,Lookup_Performance!A:A, Lookup_Performance!C:C,  , -1)</f>
        <v>Exceeding</v>
      </c>
      <c r="K61" t="s">
        <v>45</v>
      </c>
      <c r="L61" t="str">
        <f t="shared" si="1"/>
        <v>ACTIVE</v>
      </c>
      <c r="M61">
        <f t="shared" ca="1" si="5"/>
        <v>2</v>
      </c>
      <c r="N61" s="10">
        <f>_xlfn.XLOOKUP(J:J,Lookup_Performance!C:C,Lookup_Performance!D:D, "Not Found")</f>
        <v>0.08</v>
      </c>
      <c r="O61" s="3">
        <f t="shared" si="3"/>
        <v>8830.48</v>
      </c>
      <c r="P61" t="str">
        <f t="shared" si="4"/>
        <v>NO</v>
      </c>
    </row>
    <row r="62" spans="1:16" x14ac:dyDescent="0.25">
      <c r="A62" t="s">
        <v>142</v>
      </c>
      <c r="B62" t="s">
        <v>9</v>
      </c>
      <c r="C62" t="s">
        <v>135</v>
      </c>
      <c r="D62" t="s">
        <v>97</v>
      </c>
      <c r="E62" t="str">
        <f t="shared" si="0"/>
        <v>HR01</v>
      </c>
      <c r="F62" t="str">
        <f>_xlfn.XLOOKUP(E62,Lookup_Departments!A:A,Lookup_Departments!B:B)</f>
        <v>Human Resources</v>
      </c>
      <c r="G62" s="15">
        <v>44079</v>
      </c>
      <c r="H62" s="5">
        <v>114748</v>
      </c>
      <c r="I62">
        <v>33</v>
      </c>
      <c r="J62" t="str">
        <f>_xlfn.XLOOKUP(I62,Lookup_Performance!A:A, Lookup_Performance!C:C,  , -1)</f>
        <v>Needs Improvement</v>
      </c>
      <c r="K62" t="s">
        <v>12</v>
      </c>
      <c r="L62" t="str">
        <f t="shared" si="1"/>
        <v>ACTIVE</v>
      </c>
      <c r="M62">
        <f t="shared" ca="1" si="5"/>
        <v>5</v>
      </c>
      <c r="N62" s="10">
        <f>_xlfn.XLOOKUP(J:J,Lookup_Performance!C:C,Lookup_Performance!D:D, "Not Found")</f>
        <v>0</v>
      </c>
      <c r="O62" s="3">
        <f t="shared" si="3"/>
        <v>0</v>
      </c>
      <c r="P62" t="str">
        <f t="shared" si="4"/>
        <v>NO</v>
      </c>
    </row>
    <row r="63" spans="1:16" x14ac:dyDescent="0.25">
      <c r="A63" t="s">
        <v>143</v>
      </c>
      <c r="B63" t="s">
        <v>43</v>
      </c>
      <c r="C63" t="s">
        <v>32</v>
      </c>
      <c r="D63" t="s">
        <v>33</v>
      </c>
      <c r="E63" t="str">
        <f t="shared" si="0"/>
        <v>OPS06</v>
      </c>
      <c r="F63" t="str">
        <f>_xlfn.XLOOKUP(E63,Lookup_Departments!A:A,Lookup_Departments!B:B)</f>
        <v>Operations</v>
      </c>
      <c r="G63" s="15">
        <v>42800</v>
      </c>
      <c r="H63" s="5">
        <v>63302</v>
      </c>
      <c r="I63">
        <v>91</v>
      </c>
      <c r="J63" t="str">
        <f>_xlfn.XLOOKUP(I63,Lookup_Performance!A:A, Lookup_Performance!C:C,  , -1)</f>
        <v>Exceeding</v>
      </c>
      <c r="K63" t="s">
        <v>12</v>
      </c>
      <c r="L63" t="str">
        <f t="shared" si="1"/>
        <v>ACTIVE</v>
      </c>
      <c r="M63">
        <f t="shared" ca="1" si="5"/>
        <v>9</v>
      </c>
      <c r="N63" s="10">
        <f>_xlfn.XLOOKUP(J:J,Lookup_Performance!C:C,Lookup_Performance!D:D, "Not Found")</f>
        <v>0.08</v>
      </c>
      <c r="O63" s="3">
        <f t="shared" si="3"/>
        <v>5064.16</v>
      </c>
      <c r="P63" t="str">
        <f t="shared" si="4"/>
        <v>NO</v>
      </c>
    </row>
    <row r="64" spans="1:16" x14ac:dyDescent="0.25">
      <c r="A64" t="s">
        <v>144</v>
      </c>
      <c r="B64" t="s">
        <v>59</v>
      </c>
      <c r="C64" t="s">
        <v>47</v>
      </c>
      <c r="D64" t="s">
        <v>84</v>
      </c>
      <c r="E64" t="str">
        <f t="shared" si="0"/>
        <v>IT02</v>
      </c>
      <c r="F64" t="str">
        <f>_xlfn.XLOOKUP(E64,Lookup_Departments!A:A,Lookup_Departments!B:B)</f>
        <v>Information Technology</v>
      </c>
      <c r="G64" s="15">
        <v>42122</v>
      </c>
      <c r="H64" s="5">
        <v>75519</v>
      </c>
      <c r="I64">
        <v>64</v>
      </c>
      <c r="J64" t="str">
        <f>_xlfn.XLOOKUP(I64,Lookup_Performance!A:A, Lookup_Performance!C:C,  , -1)</f>
        <v>Developing</v>
      </c>
      <c r="K64" t="s">
        <v>12</v>
      </c>
      <c r="L64" t="str">
        <f t="shared" si="1"/>
        <v>ACTIVE</v>
      </c>
      <c r="M64">
        <f t="shared" ca="1" si="5"/>
        <v>11</v>
      </c>
      <c r="N64" s="10">
        <f>_xlfn.XLOOKUP(J:J,Lookup_Performance!C:C,Lookup_Performance!D:D, "Not Found")</f>
        <v>0.02</v>
      </c>
      <c r="O64" s="3">
        <f t="shared" si="3"/>
        <v>1510.38</v>
      </c>
      <c r="P64" t="str">
        <f t="shared" si="4"/>
        <v>NO</v>
      </c>
    </row>
    <row r="65" spans="1:16" x14ac:dyDescent="0.25">
      <c r="A65" t="s">
        <v>146</v>
      </c>
      <c r="B65" t="s">
        <v>59</v>
      </c>
      <c r="C65" t="s">
        <v>64</v>
      </c>
      <c r="D65" t="s">
        <v>76</v>
      </c>
      <c r="E65" t="str">
        <f t="shared" si="0"/>
        <v>FIN03</v>
      </c>
      <c r="F65" t="str">
        <f>_xlfn.XLOOKUP(E65,Lookup_Departments!A:A,Lookup_Departments!B:B)</f>
        <v>Finance</v>
      </c>
      <c r="G65" s="15">
        <v>42838</v>
      </c>
      <c r="H65" s="5">
        <v>103891</v>
      </c>
      <c r="I65">
        <v>80</v>
      </c>
      <c r="J65" t="str">
        <f>_xlfn.XLOOKUP(I65,Lookup_Performance!A:A, Lookup_Performance!C:C,  , -1)</f>
        <v>Achieving</v>
      </c>
      <c r="K65" t="s">
        <v>12</v>
      </c>
      <c r="L65" t="str">
        <f t="shared" si="1"/>
        <v>ACTIVE</v>
      </c>
      <c r="M65">
        <f t="shared" ca="1" si="5"/>
        <v>9</v>
      </c>
      <c r="N65" s="10">
        <f>_xlfn.XLOOKUP(J:J,Lookup_Performance!C:C,Lookup_Performance!D:D, "Not Found")</f>
        <v>0.05</v>
      </c>
      <c r="O65" s="3">
        <f t="shared" si="3"/>
        <v>5194.55</v>
      </c>
      <c r="P65" t="str">
        <f t="shared" si="4"/>
        <v>NO</v>
      </c>
    </row>
    <row r="66" spans="1:16" x14ac:dyDescent="0.25">
      <c r="A66" t="s">
        <v>147</v>
      </c>
      <c r="B66" t="s">
        <v>53</v>
      </c>
      <c r="C66" t="s">
        <v>64</v>
      </c>
      <c r="D66" t="s">
        <v>33</v>
      </c>
      <c r="E66" t="str">
        <f t="shared" si="0"/>
        <v>OPS06</v>
      </c>
      <c r="F66" t="str">
        <f>_xlfn.XLOOKUP(E66,Lookup_Departments!A:A,Lookup_Departments!B:B)</f>
        <v>Operations</v>
      </c>
      <c r="G66" s="15">
        <v>44827</v>
      </c>
      <c r="H66" s="5">
        <v>83603.929999999993</v>
      </c>
      <c r="I66">
        <v>46</v>
      </c>
      <c r="J66" t="str">
        <f>_xlfn.XLOOKUP(I66,Lookup_Performance!A:A, Lookup_Performance!C:C,  , -1)</f>
        <v>Needs Improvement</v>
      </c>
      <c r="K66" t="s">
        <v>22</v>
      </c>
      <c r="L66" t="str">
        <f t="shared" si="1"/>
        <v>LEFT</v>
      </c>
      <c r="M66">
        <f t="shared" ca="1" si="5"/>
        <v>3</v>
      </c>
      <c r="N66" s="10">
        <f>_xlfn.XLOOKUP(J:J,Lookup_Performance!C:C,Lookup_Performance!D:D, "Not Found")</f>
        <v>0</v>
      </c>
      <c r="O66" s="3">
        <f t="shared" si="3"/>
        <v>0</v>
      </c>
      <c r="P66" t="str">
        <f t="shared" si="4"/>
        <v>YES</v>
      </c>
    </row>
    <row r="67" spans="1:16" x14ac:dyDescent="0.25">
      <c r="A67" t="s">
        <v>148</v>
      </c>
      <c r="B67" t="s">
        <v>28</v>
      </c>
      <c r="C67" t="s">
        <v>60</v>
      </c>
      <c r="D67" t="s">
        <v>61</v>
      </c>
      <c r="E67" t="str">
        <f t="shared" ref="E67:E130" si="6">UPPER(TRIM(D67))</f>
        <v>MKT04</v>
      </c>
      <c r="F67" t="str">
        <f>_xlfn.XLOOKUP(E67,Lookup_Departments!A:A,Lookup_Departments!B:B)</f>
        <v>Marketing</v>
      </c>
      <c r="G67" s="15">
        <v>42685</v>
      </c>
      <c r="H67" s="5">
        <v>50936</v>
      </c>
      <c r="I67">
        <v>99</v>
      </c>
      <c r="J67" t="str">
        <f>_xlfn.XLOOKUP(I67,Lookup_Performance!A:A, Lookup_Performance!C:C,  , -1)</f>
        <v>Outstanding</v>
      </c>
      <c r="K67" t="s">
        <v>12</v>
      </c>
      <c r="L67" t="str">
        <f t="shared" ref="L67:L130" si="7">UPPER(TRIM(K67))</f>
        <v>ACTIVE</v>
      </c>
      <c r="M67">
        <f t="shared" ref="M67:M130" ca="1" si="8">DATEDIF(G67, TODAY(), "Y")</f>
        <v>9</v>
      </c>
      <c r="N67" s="10">
        <f>_xlfn.XLOOKUP(J:J,Lookup_Performance!C:C,Lookup_Performance!D:D, "Not Found")</f>
        <v>0.12</v>
      </c>
      <c r="O67" s="3">
        <f t="shared" ref="O67:O130" si="9">N67*H67</f>
        <v>6112.32</v>
      </c>
      <c r="P67" t="str">
        <f t="shared" ref="P67:P130" si="10">IF(OR(ISNUMBER(SEARCH("LEFT",L67)), ISNUMBER(SEARCH("RESIGN", L67))), "YES",   "NO")</f>
        <v>NO</v>
      </c>
    </row>
    <row r="68" spans="1:16" x14ac:dyDescent="0.25">
      <c r="A68" t="s">
        <v>151</v>
      </c>
      <c r="B68" t="s">
        <v>28</v>
      </c>
      <c r="C68" t="s">
        <v>47</v>
      </c>
      <c r="D68" t="s">
        <v>79</v>
      </c>
      <c r="E68" t="str">
        <f t="shared" si="6"/>
        <v>SAL05</v>
      </c>
      <c r="F68" t="str">
        <f>_xlfn.XLOOKUP(E68,Lookup_Departments!A:A,Lookup_Departments!B:B)</f>
        <v>Sales</v>
      </c>
      <c r="G68" s="15">
        <v>42818</v>
      </c>
      <c r="H68" s="5">
        <v>111240</v>
      </c>
      <c r="I68">
        <v>68</v>
      </c>
      <c r="J68" t="str">
        <f>_xlfn.XLOOKUP(I68,Lookup_Performance!A:A, Lookup_Performance!C:C,  , -1)</f>
        <v>Developing</v>
      </c>
      <c r="K68" t="s">
        <v>45</v>
      </c>
      <c r="L68" t="str">
        <f t="shared" si="7"/>
        <v>ACTIVE</v>
      </c>
      <c r="M68">
        <f t="shared" ca="1" si="8"/>
        <v>9</v>
      </c>
      <c r="N68" s="10">
        <f>_xlfn.XLOOKUP(J:J,Lookup_Performance!C:C,Lookup_Performance!D:D, "Not Found")</f>
        <v>0.02</v>
      </c>
      <c r="O68" s="3">
        <f t="shared" si="9"/>
        <v>2224.8000000000002</v>
      </c>
      <c r="P68" t="str">
        <f t="shared" si="10"/>
        <v>NO</v>
      </c>
    </row>
    <row r="69" spans="1:16" x14ac:dyDescent="0.25">
      <c r="A69" t="s">
        <v>154</v>
      </c>
      <c r="B69" t="s">
        <v>43</v>
      </c>
      <c r="C69" t="s">
        <v>19</v>
      </c>
      <c r="D69" t="s">
        <v>97</v>
      </c>
      <c r="E69" t="str">
        <f t="shared" si="6"/>
        <v>HR01</v>
      </c>
      <c r="F69" t="str">
        <f>_xlfn.XLOOKUP(E69,Lookup_Departments!A:A,Lookup_Departments!B:B)</f>
        <v>Human Resources</v>
      </c>
      <c r="G69" s="15">
        <v>43590</v>
      </c>
      <c r="H69" s="5">
        <v>51567</v>
      </c>
      <c r="I69">
        <v>87</v>
      </c>
      <c r="J69" t="str">
        <f>_xlfn.XLOOKUP(I69,Lookup_Performance!A:A, Lookup_Performance!C:C,  , -1)</f>
        <v>Exceeding</v>
      </c>
      <c r="K69" t="s">
        <v>116</v>
      </c>
      <c r="L69" t="str">
        <f t="shared" si="7"/>
        <v>RESIGNED</v>
      </c>
      <c r="M69">
        <f t="shared" ca="1" si="8"/>
        <v>7</v>
      </c>
      <c r="N69" s="10">
        <f>_xlfn.XLOOKUP(J:J,Lookup_Performance!C:C,Lookup_Performance!D:D, "Not Found")</f>
        <v>0.08</v>
      </c>
      <c r="O69" s="3">
        <f t="shared" si="9"/>
        <v>4125.3599999999997</v>
      </c>
      <c r="P69" t="str">
        <f t="shared" si="10"/>
        <v>YES</v>
      </c>
    </row>
    <row r="70" spans="1:16" x14ac:dyDescent="0.25">
      <c r="A70" t="s">
        <v>156</v>
      </c>
      <c r="B70" t="s">
        <v>14</v>
      </c>
      <c r="C70" t="s">
        <v>54</v>
      </c>
      <c r="D70" t="s">
        <v>157</v>
      </c>
      <c r="E70" t="str">
        <f t="shared" si="6"/>
        <v>HR01</v>
      </c>
      <c r="F70" t="str">
        <f>_xlfn.XLOOKUP(E70,Lookup_Departments!A:A,Lookup_Departments!B:B)</f>
        <v>Human Resources</v>
      </c>
      <c r="G70" s="15">
        <v>44402</v>
      </c>
      <c r="H70" s="5">
        <v>83603.929999999993</v>
      </c>
      <c r="I70">
        <v>36</v>
      </c>
      <c r="J70" t="str">
        <f>_xlfn.XLOOKUP(I70,Lookup_Performance!A:A, Lookup_Performance!C:C,  , -1)</f>
        <v>Needs Improvement</v>
      </c>
      <c r="K70" t="s">
        <v>45</v>
      </c>
      <c r="L70" t="str">
        <f t="shared" si="7"/>
        <v>ACTIVE</v>
      </c>
      <c r="M70">
        <f t="shared" ca="1" si="8"/>
        <v>4</v>
      </c>
      <c r="N70" s="10">
        <f>_xlfn.XLOOKUP(J:J,Lookup_Performance!C:C,Lookup_Performance!D:D, "Not Found")</f>
        <v>0</v>
      </c>
      <c r="O70" s="3">
        <f t="shared" si="9"/>
        <v>0</v>
      </c>
      <c r="P70" t="str">
        <f t="shared" si="10"/>
        <v>NO</v>
      </c>
    </row>
    <row r="71" spans="1:16" x14ac:dyDescent="0.25">
      <c r="A71" t="s">
        <v>158</v>
      </c>
      <c r="B71" t="s">
        <v>105</v>
      </c>
      <c r="C71" t="s">
        <v>47</v>
      </c>
      <c r="D71" t="s">
        <v>97</v>
      </c>
      <c r="E71" t="str">
        <f t="shared" si="6"/>
        <v>HR01</v>
      </c>
      <c r="F71" t="str">
        <f>_xlfn.XLOOKUP(E71,Lookup_Departments!A:A,Lookup_Departments!B:B)</f>
        <v>Human Resources</v>
      </c>
      <c r="G71" s="15">
        <v>43008</v>
      </c>
      <c r="H71" s="5">
        <v>55270</v>
      </c>
      <c r="I71">
        <v>87</v>
      </c>
      <c r="J71" t="str">
        <f>_xlfn.XLOOKUP(I71,Lookup_Performance!A:A, Lookup_Performance!C:C,  , -1)</f>
        <v>Exceeding</v>
      </c>
      <c r="K71" t="s">
        <v>45</v>
      </c>
      <c r="L71" t="str">
        <f t="shared" si="7"/>
        <v>ACTIVE</v>
      </c>
      <c r="M71">
        <f t="shared" ca="1" si="8"/>
        <v>8</v>
      </c>
      <c r="N71" s="10">
        <f>_xlfn.XLOOKUP(J:J,Lookup_Performance!C:C,Lookup_Performance!D:D, "Not Found")</f>
        <v>0.08</v>
      </c>
      <c r="O71" s="3">
        <f t="shared" si="9"/>
        <v>4421.6000000000004</v>
      </c>
      <c r="P71" t="str">
        <f t="shared" si="10"/>
        <v>NO</v>
      </c>
    </row>
    <row r="72" spans="1:16" x14ac:dyDescent="0.25">
      <c r="A72" t="s">
        <v>159</v>
      </c>
      <c r="B72" t="s">
        <v>59</v>
      </c>
      <c r="C72" t="s">
        <v>133</v>
      </c>
      <c r="D72" t="s">
        <v>44</v>
      </c>
      <c r="E72" t="str">
        <f t="shared" si="6"/>
        <v>SAL05</v>
      </c>
      <c r="F72" t="str">
        <f>_xlfn.XLOOKUP(E72,Lookup_Departments!A:A,Lookup_Departments!B:B)</f>
        <v>Sales</v>
      </c>
      <c r="G72" s="15">
        <v>42192</v>
      </c>
      <c r="H72" s="5">
        <v>65235</v>
      </c>
      <c r="I72">
        <v>97</v>
      </c>
      <c r="J72" t="str">
        <f>_xlfn.XLOOKUP(I72,Lookup_Performance!A:A, Lookup_Performance!C:C,  , -1)</f>
        <v>Outstanding</v>
      </c>
      <c r="K72" t="s">
        <v>17</v>
      </c>
      <c r="L72" t="str">
        <f t="shared" si="7"/>
        <v>ACTIVE</v>
      </c>
      <c r="M72">
        <f t="shared" ca="1" si="8"/>
        <v>11</v>
      </c>
      <c r="N72" s="10">
        <f>_xlfn.XLOOKUP(J:J,Lookup_Performance!C:C,Lookup_Performance!D:D, "Not Found")</f>
        <v>0.12</v>
      </c>
      <c r="O72" s="3">
        <f t="shared" si="9"/>
        <v>7828.2</v>
      </c>
      <c r="P72" t="str">
        <f t="shared" si="10"/>
        <v>NO</v>
      </c>
    </row>
    <row r="73" spans="1:16" x14ac:dyDescent="0.25">
      <c r="A73" t="s">
        <v>161</v>
      </c>
      <c r="B73" t="s">
        <v>160</v>
      </c>
      <c r="C73" t="s">
        <v>19</v>
      </c>
      <c r="D73" t="s">
        <v>44</v>
      </c>
      <c r="E73" t="str">
        <f t="shared" si="6"/>
        <v>SAL05</v>
      </c>
      <c r="F73" t="str">
        <f>_xlfn.XLOOKUP(E73,Lookup_Departments!A:A,Lookup_Departments!B:B)</f>
        <v>Sales</v>
      </c>
      <c r="G73" s="15">
        <v>43283</v>
      </c>
      <c r="H73" s="5">
        <v>83603.929999999993</v>
      </c>
      <c r="I73">
        <v>72</v>
      </c>
      <c r="J73" t="str">
        <f>_xlfn.XLOOKUP(I73,Lookup_Performance!A:A, Lookup_Performance!C:C,  , -1)</f>
        <v>Achieving</v>
      </c>
      <c r="K73" t="s">
        <v>22</v>
      </c>
      <c r="L73" t="str">
        <f t="shared" si="7"/>
        <v>LEFT</v>
      </c>
      <c r="M73">
        <f t="shared" ca="1" si="8"/>
        <v>8</v>
      </c>
      <c r="N73" s="10">
        <f>_xlfn.XLOOKUP(J:J,Lookup_Performance!C:C,Lookup_Performance!D:D, "Not Found")</f>
        <v>0.05</v>
      </c>
      <c r="O73" s="3">
        <f t="shared" si="9"/>
        <v>4180.1965</v>
      </c>
      <c r="P73" t="str">
        <f t="shared" si="10"/>
        <v>YES</v>
      </c>
    </row>
    <row r="74" spans="1:16" x14ac:dyDescent="0.25">
      <c r="A74" t="s">
        <v>162</v>
      </c>
      <c r="B74" t="s">
        <v>24</v>
      </c>
      <c r="C74" t="s">
        <v>19</v>
      </c>
      <c r="D74" t="s">
        <v>48</v>
      </c>
      <c r="E74" t="str">
        <f t="shared" si="6"/>
        <v>SAL05</v>
      </c>
      <c r="F74" t="str">
        <f>_xlfn.XLOOKUP(E74,Lookup_Departments!A:A,Lookup_Departments!B:B)</f>
        <v>Sales</v>
      </c>
      <c r="G74" s="15">
        <v>44819</v>
      </c>
      <c r="H74" s="5">
        <v>83603.929999999993</v>
      </c>
      <c r="I74">
        <v>65</v>
      </c>
      <c r="J74" t="str">
        <f>_xlfn.XLOOKUP(I74,Lookup_Performance!A:A, Lookup_Performance!C:C,  , -1)</f>
        <v>Developing</v>
      </c>
      <c r="K74" t="s">
        <v>22</v>
      </c>
      <c r="L74" t="str">
        <f t="shared" si="7"/>
        <v>LEFT</v>
      </c>
      <c r="M74">
        <f t="shared" ca="1" si="8"/>
        <v>3</v>
      </c>
      <c r="N74" s="10">
        <f>_xlfn.XLOOKUP(J:J,Lookup_Performance!C:C,Lookup_Performance!D:D, "Not Found")</f>
        <v>0.02</v>
      </c>
      <c r="O74" s="3">
        <f t="shared" si="9"/>
        <v>1672.0785999999998</v>
      </c>
      <c r="P74" t="str">
        <f t="shared" si="10"/>
        <v>YES</v>
      </c>
    </row>
    <row r="75" spans="1:16" x14ac:dyDescent="0.25">
      <c r="A75" t="s">
        <v>163</v>
      </c>
      <c r="B75" t="s">
        <v>66</v>
      </c>
      <c r="C75" t="s">
        <v>19</v>
      </c>
      <c r="D75" t="s">
        <v>79</v>
      </c>
      <c r="E75" t="str">
        <f t="shared" si="6"/>
        <v>SAL05</v>
      </c>
      <c r="F75" t="str">
        <f>_xlfn.XLOOKUP(E75,Lookup_Departments!A:A,Lookup_Departments!B:B)</f>
        <v>Sales</v>
      </c>
      <c r="G75" s="15">
        <v>42249</v>
      </c>
      <c r="H75" s="5">
        <v>83603.929999999993</v>
      </c>
      <c r="I75">
        <v>67</v>
      </c>
      <c r="J75" t="str">
        <f>_xlfn.XLOOKUP(I75,Lookup_Performance!A:A, Lookup_Performance!C:C,  , -1)</f>
        <v>Developing</v>
      </c>
      <c r="K75" t="s">
        <v>45</v>
      </c>
      <c r="L75" t="str">
        <f t="shared" si="7"/>
        <v>ACTIVE</v>
      </c>
      <c r="M75">
        <f t="shared" ca="1" si="8"/>
        <v>10</v>
      </c>
      <c r="N75" s="10">
        <f>_xlfn.XLOOKUP(J:J,Lookup_Performance!C:C,Lookup_Performance!D:D, "Not Found")</f>
        <v>0.02</v>
      </c>
      <c r="O75" s="3">
        <f t="shared" si="9"/>
        <v>1672.0785999999998</v>
      </c>
      <c r="P75" t="str">
        <f t="shared" si="10"/>
        <v>NO</v>
      </c>
    </row>
    <row r="76" spans="1:16" x14ac:dyDescent="0.25">
      <c r="A76" t="s">
        <v>164</v>
      </c>
      <c r="B76" t="s">
        <v>59</v>
      </c>
      <c r="C76" t="s">
        <v>36</v>
      </c>
      <c r="D76" t="s">
        <v>165</v>
      </c>
      <c r="E76" t="str">
        <f t="shared" si="6"/>
        <v>OPS06</v>
      </c>
      <c r="F76" t="str">
        <f>_xlfn.XLOOKUP(E76,Lookup_Departments!A:A,Lookup_Departments!B:B)</f>
        <v>Operations</v>
      </c>
      <c r="G76" s="15">
        <v>42654</v>
      </c>
      <c r="H76" s="5">
        <v>48823</v>
      </c>
      <c r="I76">
        <v>34</v>
      </c>
      <c r="J76" t="str">
        <f>_xlfn.XLOOKUP(I76,Lookup_Performance!A:A, Lookup_Performance!C:C,  , -1)</f>
        <v>Needs Improvement</v>
      </c>
      <c r="K76" t="s">
        <v>17</v>
      </c>
      <c r="L76" t="str">
        <f t="shared" si="7"/>
        <v>ACTIVE</v>
      </c>
      <c r="M76">
        <f t="shared" ca="1" si="8"/>
        <v>9</v>
      </c>
      <c r="N76" s="10">
        <f>_xlfn.XLOOKUP(J:J,Lookup_Performance!C:C,Lookup_Performance!D:D, "Not Found")</f>
        <v>0</v>
      </c>
      <c r="O76" s="3">
        <f t="shared" si="9"/>
        <v>0</v>
      </c>
      <c r="P76" t="str">
        <f t="shared" si="10"/>
        <v>NO</v>
      </c>
    </row>
    <row r="77" spans="1:16" x14ac:dyDescent="0.25">
      <c r="A77" t="s">
        <v>167</v>
      </c>
      <c r="B77" t="s">
        <v>53</v>
      </c>
      <c r="C77" t="s">
        <v>19</v>
      </c>
      <c r="D77" t="s">
        <v>76</v>
      </c>
      <c r="E77" t="str">
        <f t="shared" si="6"/>
        <v>FIN03</v>
      </c>
      <c r="F77" t="str">
        <f>_xlfn.XLOOKUP(E77,Lookup_Departments!A:A,Lookup_Departments!B:B)</f>
        <v>Finance</v>
      </c>
      <c r="G77" s="15">
        <v>43575</v>
      </c>
      <c r="H77" s="5">
        <v>45196</v>
      </c>
      <c r="I77">
        <v>78</v>
      </c>
      <c r="J77" t="str">
        <f>_xlfn.XLOOKUP(I77,Lookup_Performance!A:A, Lookup_Performance!C:C,  , -1)</f>
        <v>Achieving</v>
      </c>
      <c r="K77" t="s">
        <v>22</v>
      </c>
      <c r="L77" t="str">
        <f t="shared" si="7"/>
        <v>LEFT</v>
      </c>
      <c r="M77">
        <f t="shared" ca="1" si="8"/>
        <v>7</v>
      </c>
      <c r="N77" s="10">
        <f>_xlfn.XLOOKUP(J:J,Lookup_Performance!C:C,Lookup_Performance!D:D, "Not Found")</f>
        <v>0.05</v>
      </c>
      <c r="O77" s="3">
        <f t="shared" si="9"/>
        <v>2259.8000000000002</v>
      </c>
      <c r="P77" t="str">
        <f t="shared" si="10"/>
        <v>YES</v>
      </c>
    </row>
    <row r="78" spans="1:16" x14ac:dyDescent="0.25">
      <c r="A78" t="s">
        <v>168</v>
      </c>
      <c r="B78" t="s">
        <v>113</v>
      </c>
      <c r="C78" t="s">
        <v>41</v>
      </c>
      <c r="D78" t="s">
        <v>11</v>
      </c>
      <c r="E78" t="str">
        <f t="shared" si="6"/>
        <v>IT02</v>
      </c>
      <c r="F78" t="str">
        <f>_xlfn.XLOOKUP(E78,Lookup_Departments!A:A,Lookup_Departments!B:B)</f>
        <v>Information Technology</v>
      </c>
      <c r="G78" s="15">
        <v>42785</v>
      </c>
      <c r="H78" s="5">
        <v>86246</v>
      </c>
      <c r="I78">
        <v>61</v>
      </c>
      <c r="J78" t="str">
        <f>_xlfn.XLOOKUP(I78,Lookup_Performance!A:A, Lookup_Performance!C:C,  , -1)</f>
        <v>Developing</v>
      </c>
      <c r="K78" t="s">
        <v>45</v>
      </c>
      <c r="L78" t="str">
        <f t="shared" si="7"/>
        <v>ACTIVE</v>
      </c>
      <c r="M78">
        <f t="shared" ca="1" si="8"/>
        <v>9</v>
      </c>
      <c r="N78" s="10">
        <f>_xlfn.XLOOKUP(J:J,Lookup_Performance!C:C,Lookup_Performance!D:D, "Not Found")</f>
        <v>0.02</v>
      </c>
      <c r="O78" s="3">
        <f t="shared" si="9"/>
        <v>1724.92</v>
      </c>
      <c r="P78" t="str">
        <f t="shared" si="10"/>
        <v>NO</v>
      </c>
    </row>
    <row r="79" spans="1:16" x14ac:dyDescent="0.25">
      <c r="A79" t="s">
        <v>171</v>
      </c>
      <c r="B79" t="s">
        <v>53</v>
      </c>
      <c r="C79" t="s">
        <v>47</v>
      </c>
      <c r="D79" t="s">
        <v>44</v>
      </c>
      <c r="E79" t="str">
        <f t="shared" si="6"/>
        <v>SAL05</v>
      </c>
      <c r="F79" t="str">
        <f>_xlfn.XLOOKUP(E79,Lookup_Departments!A:A,Lookup_Departments!B:B)</f>
        <v>Sales</v>
      </c>
      <c r="G79" s="15">
        <v>44446</v>
      </c>
      <c r="H79" s="5">
        <v>70359</v>
      </c>
      <c r="I79">
        <v>74</v>
      </c>
      <c r="J79" t="str">
        <f>_xlfn.XLOOKUP(I79,Lookup_Performance!A:A, Lookup_Performance!C:C,  , -1)</f>
        <v>Achieving</v>
      </c>
      <c r="K79" t="s">
        <v>30</v>
      </c>
      <c r="L79" t="str">
        <f t="shared" si="7"/>
        <v>LEFT</v>
      </c>
      <c r="M79">
        <f t="shared" ca="1" si="8"/>
        <v>4</v>
      </c>
      <c r="N79" s="10">
        <f>_xlfn.XLOOKUP(J:J,Lookup_Performance!C:C,Lookup_Performance!D:D, "Not Found")</f>
        <v>0.05</v>
      </c>
      <c r="O79" s="3">
        <f t="shared" si="9"/>
        <v>3517.9500000000003</v>
      </c>
      <c r="P79" t="str">
        <f t="shared" si="10"/>
        <v>YES</v>
      </c>
    </row>
    <row r="80" spans="1:16" x14ac:dyDescent="0.25">
      <c r="A80" t="s">
        <v>173</v>
      </c>
      <c r="B80" t="s">
        <v>53</v>
      </c>
      <c r="C80" t="s">
        <v>47</v>
      </c>
      <c r="D80" t="s">
        <v>61</v>
      </c>
      <c r="E80" t="str">
        <f t="shared" si="6"/>
        <v>MKT04</v>
      </c>
      <c r="F80" t="str">
        <f>_xlfn.XLOOKUP(E80,Lookup_Departments!A:A,Lookup_Departments!B:B)</f>
        <v>Marketing</v>
      </c>
      <c r="G80" s="15">
        <v>43599</v>
      </c>
      <c r="H80" s="5">
        <v>83603.929999999993</v>
      </c>
      <c r="I80">
        <v>94</v>
      </c>
      <c r="J80" t="str">
        <f>_xlfn.XLOOKUP(I80,Lookup_Performance!A:A, Lookup_Performance!C:C,  , -1)</f>
        <v>Exceeding</v>
      </c>
      <c r="K80" t="s">
        <v>17</v>
      </c>
      <c r="L80" t="str">
        <f t="shared" si="7"/>
        <v>ACTIVE</v>
      </c>
      <c r="M80">
        <f t="shared" ca="1" si="8"/>
        <v>7</v>
      </c>
      <c r="N80" s="10">
        <f>_xlfn.XLOOKUP(J:J,Lookup_Performance!C:C,Lookup_Performance!D:D, "Not Found")</f>
        <v>0.08</v>
      </c>
      <c r="O80" s="3">
        <f t="shared" si="9"/>
        <v>6688.3143999999993</v>
      </c>
      <c r="P80" t="str">
        <f t="shared" si="10"/>
        <v>NO</v>
      </c>
    </row>
    <row r="81" spans="1:16" x14ac:dyDescent="0.25">
      <c r="A81" t="s">
        <v>174</v>
      </c>
      <c r="B81" t="s">
        <v>9</v>
      </c>
      <c r="C81" t="s">
        <v>133</v>
      </c>
      <c r="D81" t="s">
        <v>37</v>
      </c>
      <c r="E81" t="str">
        <f t="shared" si="6"/>
        <v>OPS06</v>
      </c>
      <c r="F81" t="str">
        <f>_xlfn.XLOOKUP(E81,Lookup_Departments!A:A,Lookup_Departments!B:B)</f>
        <v>Operations</v>
      </c>
      <c r="G81" s="15">
        <v>42330</v>
      </c>
      <c r="H81" s="5">
        <v>86480</v>
      </c>
      <c r="I81">
        <v>68</v>
      </c>
      <c r="J81" t="str">
        <f>_xlfn.XLOOKUP(I81,Lookup_Performance!A:A, Lookup_Performance!C:C,  , -1)</f>
        <v>Developing</v>
      </c>
      <c r="K81" t="s">
        <v>17</v>
      </c>
      <c r="L81" t="str">
        <f t="shared" si="7"/>
        <v>ACTIVE</v>
      </c>
      <c r="M81">
        <f t="shared" ca="1" si="8"/>
        <v>10</v>
      </c>
      <c r="N81" s="10">
        <f>_xlfn.XLOOKUP(J:J,Lookup_Performance!C:C,Lookup_Performance!D:D, "Not Found")</f>
        <v>0.02</v>
      </c>
      <c r="O81" s="3">
        <f t="shared" si="9"/>
        <v>1729.6000000000001</v>
      </c>
      <c r="P81" t="str">
        <f t="shared" si="10"/>
        <v>NO</v>
      </c>
    </row>
    <row r="82" spans="1:16" x14ac:dyDescent="0.25">
      <c r="A82" t="s">
        <v>175</v>
      </c>
      <c r="B82" t="s">
        <v>94</v>
      </c>
      <c r="C82" t="s">
        <v>29</v>
      </c>
      <c r="D82" t="s">
        <v>138</v>
      </c>
      <c r="E82" t="str">
        <f t="shared" si="6"/>
        <v>HR01</v>
      </c>
      <c r="F82" t="str">
        <f>_xlfn.XLOOKUP(E82,Lookup_Departments!A:A,Lookup_Departments!B:B)</f>
        <v>Human Resources</v>
      </c>
      <c r="G82" s="15">
        <v>43372</v>
      </c>
      <c r="H82" s="5">
        <v>47694</v>
      </c>
      <c r="I82">
        <v>75</v>
      </c>
      <c r="J82" t="str">
        <f>_xlfn.XLOOKUP(I82,Lookup_Performance!A:A, Lookup_Performance!C:C,  , -1)</f>
        <v>Achieving</v>
      </c>
      <c r="K82" t="s">
        <v>17</v>
      </c>
      <c r="L82" t="str">
        <f t="shared" si="7"/>
        <v>ACTIVE</v>
      </c>
      <c r="M82">
        <f t="shared" ca="1" si="8"/>
        <v>7</v>
      </c>
      <c r="N82" s="10">
        <f>_xlfn.XLOOKUP(J:J,Lookup_Performance!C:C,Lookup_Performance!D:D, "Not Found")</f>
        <v>0.05</v>
      </c>
      <c r="O82" s="3">
        <f t="shared" si="9"/>
        <v>2384.7000000000003</v>
      </c>
      <c r="P82" t="str">
        <f t="shared" si="10"/>
        <v>NO</v>
      </c>
    </row>
    <row r="83" spans="1:16" x14ac:dyDescent="0.25">
      <c r="A83" t="s">
        <v>178</v>
      </c>
      <c r="B83" t="s">
        <v>28</v>
      </c>
      <c r="C83" t="s">
        <v>36</v>
      </c>
      <c r="D83" t="s">
        <v>11</v>
      </c>
      <c r="E83" t="str">
        <f t="shared" si="6"/>
        <v>IT02</v>
      </c>
      <c r="F83" t="str">
        <f>_xlfn.XLOOKUP(E83,Lookup_Departments!A:A,Lookup_Departments!B:B)</f>
        <v>Information Technology</v>
      </c>
      <c r="G83" s="15">
        <v>45171</v>
      </c>
      <c r="H83" s="5">
        <v>83724</v>
      </c>
      <c r="I83">
        <v>81</v>
      </c>
      <c r="J83" t="str">
        <f>_xlfn.XLOOKUP(I83,Lookup_Performance!A:A, Lookup_Performance!C:C,  , -1)</f>
        <v>Achieving</v>
      </c>
      <c r="K83" t="s">
        <v>116</v>
      </c>
      <c r="L83" t="str">
        <f t="shared" si="7"/>
        <v>RESIGNED</v>
      </c>
      <c r="M83">
        <f t="shared" ca="1" si="8"/>
        <v>2</v>
      </c>
      <c r="N83" s="10">
        <f>_xlfn.XLOOKUP(J:J,Lookup_Performance!C:C,Lookup_Performance!D:D, "Not Found")</f>
        <v>0.05</v>
      </c>
      <c r="O83" s="3">
        <f t="shared" si="9"/>
        <v>4186.2</v>
      </c>
      <c r="P83" t="str">
        <f t="shared" si="10"/>
        <v>YES</v>
      </c>
    </row>
    <row r="84" spans="1:16" x14ac:dyDescent="0.25">
      <c r="A84" t="s">
        <v>179</v>
      </c>
      <c r="B84" t="s">
        <v>39</v>
      </c>
      <c r="C84" t="s">
        <v>54</v>
      </c>
      <c r="D84" t="s">
        <v>76</v>
      </c>
      <c r="E84" t="str">
        <f t="shared" si="6"/>
        <v>FIN03</v>
      </c>
      <c r="F84" t="str">
        <f>_xlfn.XLOOKUP(E84,Lookup_Departments!A:A,Lookup_Departments!B:B)</f>
        <v>Finance</v>
      </c>
      <c r="G84" s="15">
        <v>44759</v>
      </c>
      <c r="H84" s="5">
        <v>98299</v>
      </c>
      <c r="I84">
        <v>61</v>
      </c>
      <c r="J84" t="str">
        <f>_xlfn.XLOOKUP(I84,Lookup_Performance!A:A, Lookup_Performance!C:C,  , -1)</f>
        <v>Developing</v>
      </c>
      <c r="K84" t="s">
        <v>45</v>
      </c>
      <c r="L84" t="str">
        <f t="shared" si="7"/>
        <v>ACTIVE</v>
      </c>
      <c r="M84">
        <f t="shared" ca="1" si="8"/>
        <v>3</v>
      </c>
      <c r="N84" s="10">
        <f>_xlfn.XLOOKUP(J:J,Lookup_Performance!C:C,Lookup_Performance!D:D, "Not Found")</f>
        <v>0.02</v>
      </c>
      <c r="O84" s="3">
        <f t="shared" si="9"/>
        <v>1965.98</v>
      </c>
      <c r="P84" t="str">
        <f t="shared" si="10"/>
        <v>NO</v>
      </c>
    </row>
    <row r="85" spans="1:16" x14ac:dyDescent="0.25">
      <c r="A85" t="s">
        <v>180</v>
      </c>
      <c r="B85" t="s">
        <v>14</v>
      </c>
      <c r="C85" t="s">
        <v>54</v>
      </c>
      <c r="D85" t="s">
        <v>26</v>
      </c>
      <c r="E85" t="str">
        <f t="shared" si="6"/>
        <v>FIN03</v>
      </c>
      <c r="F85" t="str">
        <f>_xlfn.XLOOKUP(E85,Lookup_Departments!A:A,Lookup_Departments!B:B)</f>
        <v>Finance</v>
      </c>
      <c r="G85" s="15">
        <v>44234</v>
      </c>
      <c r="H85" s="5">
        <v>83603.929999999993</v>
      </c>
      <c r="I85">
        <v>68</v>
      </c>
      <c r="J85" t="str">
        <f>_xlfn.XLOOKUP(I85,Lookup_Performance!A:A, Lookup_Performance!C:C,  , -1)</f>
        <v>Developing</v>
      </c>
      <c r="K85" t="s">
        <v>45</v>
      </c>
      <c r="L85" t="str">
        <f t="shared" si="7"/>
        <v>ACTIVE</v>
      </c>
      <c r="M85">
        <f t="shared" ca="1" si="8"/>
        <v>5</v>
      </c>
      <c r="N85" s="10">
        <f>_xlfn.XLOOKUP(J:J,Lookup_Performance!C:C,Lookup_Performance!D:D, "Not Found")</f>
        <v>0.02</v>
      </c>
      <c r="O85" s="3">
        <f t="shared" si="9"/>
        <v>1672.0785999999998</v>
      </c>
      <c r="P85" t="str">
        <f t="shared" si="10"/>
        <v>NO</v>
      </c>
    </row>
    <row r="86" spans="1:16" x14ac:dyDescent="0.25">
      <c r="A86" t="s">
        <v>182</v>
      </c>
      <c r="B86" t="s">
        <v>105</v>
      </c>
      <c r="C86" t="s">
        <v>32</v>
      </c>
      <c r="D86" t="s">
        <v>84</v>
      </c>
      <c r="E86" t="str">
        <f t="shared" si="6"/>
        <v>IT02</v>
      </c>
      <c r="F86" t="str">
        <f>_xlfn.XLOOKUP(E86,Lookup_Departments!A:A,Lookup_Departments!B:B)</f>
        <v>Information Technology</v>
      </c>
      <c r="G86" s="15">
        <v>45203</v>
      </c>
      <c r="H86" s="5">
        <v>52287</v>
      </c>
      <c r="I86">
        <v>70</v>
      </c>
      <c r="J86" t="str">
        <f>_xlfn.XLOOKUP(I86,Lookup_Performance!A:A, Lookup_Performance!C:C,  , -1)</f>
        <v>Achieving</v>
      </c>
      <c r="K86" t="s">
        <v>12</v>
      </c>
      <c r="L86" t="str">
        <f t="shared" si="7"/>
        <v>ACTIVE</v>
      </c>
      <c r="M86">
        <f t="shared" ca="1" si="8"/>
        <v>2</v>
      </c>
      <c r="N86" s="10">
        <f>_xlfn.XLOOKUP(J:J,Lookup_Performance!C:C,Lookup_Performance!D:D, "Not Found")</f>
        <v>0.05</v>
      </c>
      <c r="O86" s="3">
        <f t="shared" si="9"/>
        <v>2614.3500000000004</v>
      </c>
      <c r="P86" t="str">
        <f t="shared" si="10"/>
        <v>NO</v>
      </c>
    </row>
    <row r="87" spans="1:16" x14ac:dyDescent="0.25">
      <c r="A87" t="s">
        <v>184</v>
      </c>
      <c r="B87" t="s">
        <v>28</v>
      </c>
      <c r="C87" t="s">
        <v>19</v>
      </c>
      <c r="D87" t="s">
        <v>11</v>
      </c>
      <c r="E87" t="str">
        <f t="shared" si="6"/>
        <v>IT02</v>
      </c>
      <c r="F87" t="str">
        <f>_xlfn.XLOOKUP(E87,Lookup_Departments!A:A,Lookup_Departments!B:B)</f>
        <v>Information Technology</v>
      </c>
      <c r="G87" s="15">
        <v>44073</v>
      </c>
      <c r="H87" s="5">
        <v>82633</v>
      </c>
      <c r="I87">
        <v>98</v>
      </c>
      <c r="J87" t="str">
        <f>_xlfn.XLOOKUP(I87,Lookup_Performance!A:A, Lookup_Performance!C:C,  , -1)</f>
        <v>Outstanding</v>
      </c>
      <c r="K87" t="s">
        <v>17</v>
      </c>
      <c r="L87" t="str">
        <f t="shared" si="7"/>
        <v>ACTIVE</v>
      </c>
      <c r="M87">
        <f t="shared" ca="1" si="8"/>
        <v>5</v>
      </c>
      <c r="N87" s="10">
        <f>_xlfn.XLOOKUP(J:J,Lookup_Performance!C:C,Lookup_Performance!D:D, "Not Found")</f>
        <v>0.12</v>
      </c>
      <c r="O87" s="3">
        <f t="shared" si="9"/>
        <v>9915.9599999999991</v>
      </c>
      <c r="P87" t="str">
        <f t="shared" si="10"/>
        <v>NO</v>
      </c>
    </row>
    <row r="88" spans="1:16" x14ac:dyDescent="0.25">
      <c r="A88" t="s">
        <v>185</v>
      </c>
      <c r="B88" t="s">
        <v>113</v>
      </c>
      <c r="C88" t="s">
        <v>135</v>
      </c>
      <c r="D88" t="s">
        <v>37</v>
      </c>
      <c r="E88" t="str">
        <f t="shared" si="6"/>
        <v>OPS06</v>
      </c>
      <c r="F88" t="str">
        <f>_xlfn.XLOOKUP(E88,Lookup_Departments!A:A,Lookup_Departments!B:B)</f>
        <v>Operations</v>
      </c>
      <c r="G88" s="15">
        <v>44422</v>
      </c>
      <c r="H88" s="5">
        <v>46508</v>
      </c>
      <c r="I88">
        <v>34</v>
      </c>
      <c r="J88" t="str">
        <f>_xlfn.XLOOKUP(I88,Lookup_Performance!A:A, Lookup_Performance!C:C,  , -1)</f>
        <v>Needs Improvement</v>
      </c>
      <c r="K88" t="s">
        <v>45</v>
      </c>
      <c r="L88" t="str">
        <f t="shared" si="7"/>
        <v>ACTIVE</v>
      </c>
      <c r="M88">
        <f t="shared" ca="1" si="8"/>
        <v>4</v>
      </c>
      <c r="N88" s="10">
        <f>_xlfn.XLOOKUP(J:J,Lookup_Performance!C:C,Lookup_Performance!D:D, "Not Found")</f>
        <v>0</v>
      </c>
      <c r="O88" s="3">
        <f t="shared" si="9"/>
        <v>0</v>
      </c>
      <c r="P88" t="str">
        <f t="shared" si="10"/>
        <v>NO</v>
      </c>
    </row>
    <row r="89" spans="1:16" x14ac:dyDescent="0.25">
      <c r="A89" t="s">
        <v>186</v>
      </c>
      <c r="B89" t="s">
        <v>24</v>
      </c>
      <c r="C89" t="s">
        <v>19</v>
      </c>
      <c r="D89" t="s">
        <v>138</v>
      </c>
      <c r="E89" t="str">
        <f t="shared" si="6"/>
        <v>HR01</v>
      </c>
      <c r="F89" t="str">
        <f>_xlfn.XLOOKUP(E89,Lookup_Departments!A:A,Lookup_Departments!B:B)</f>
        <v>Human Resources</v>
      </c>
      <c r="G89" s="15">
        <v>43796</v>
      </c>
      <c r="H89" s="5">
        <v>86232</v>
      </c>
      <c r="I89">
        <v>93</v>
      </c>
      <c r="J89" t="str">
        <f>_xlfn.XLOOKUP(I89,Lookup_Performance!A:A, Lookup_Performance!C:C,  , -1)</f>
        <v>Exceeding</v>
      </c>
      <c r="K89" t="s">
        <v>45</v>
      </c>
      <c r="L89" t="str">
        <f t="shared" si="7"/>
        <v>ACTIVE</v>
      </c>
      <c r="M89">
        <f t="shared" ca="1" si="8"/>
        <v>6</v>
      </c>
      <c r="N89" s="10">
        <f>_xlfn.XLOOKUP(J:J,Lookup_Performance!C:C,Lookup_Performance!D:D, "Not Found")</f>
        <v>0.08</v>
      </c>
      <c r="O89" s="3">
        <f t="shared" si="9"/>
        <v>6898.56</v>
      </c>
      <c r="P89" t="str">
        <f t="shared" si="10"/>
        <v>NO</v>
      </c>
    </row>
    <row r="90" spans="1:16" x14ac:dyDescent="0.25">
      <c r="A90" t="s">
        <v>188</v>
      </c>
      <c r="B90" t="s">
        <v>14</v>
      </c>
      <c r="C90" t="s">
        <v>64</v>
      </c>
      <c r="D90" t="s">
        <v>84</v>
      </c>
      <c r="E90" t="str">
        <f t="shared" si="6"/>
        <v>IT02</v>
      </c>
      <c r="F90" t="str">
        <f>_xlfn.XLOOKUP(E90,Lookup_Departments!A:A,Lookup_Departments!B:B)</f>
        <v>Information Technology</v>
      </c>
      <c r="G90" s="15">
        <v>42880</v>
      </c>
      <c r="H90" s="5">
        <v>77545</v>
      </c>
      <c r="I90">
        <v>48</v>
      </c>
      <c r="J90" t="str">
        <f>_xlfn.XLOOKUP(I90,Lookup_Performance!A:A, Lookup_Performance!C:C,  , -1)</f>
        <v>Needs Improvement</v>
      </c>
      <c r="K90" t="s">
        <v>45</v>
      </c>
      <c r="L90" t="str">
        <f t="shared" si="7"/>
        <v>ACTIVE</v>
      </c>
      <c r="M90">
        <f t="shared" ca="1" si="8"/>
        <v>9</v>
      </c>
      <c r="N90" s="10">
        <f>_xlfn.XLOOKUP(J:J,Lookup_Performance!C:C,Lookup_Performance!D:D, "Not Found")</f>
        <v>0</v>
      </c>
      <c r="O90" s="3">
        <f t="shared" si="9"/>
        <v>0</v>
      </c>
      <c r="P90" t="str">
        <f t="shared" si="10"/>
        <v>NO</v>
      </c>
    </row>
    <row r="91" spans="1:16" x14ac:dyDescent="0.25">
      <c r="A91" t="s">
        <v>191</v>
      </c>
      <c r="B91" t="s">
        <v>105</v>
      </c>
      <c r="C91" t="s">
        <v>19</v>
      </c>
      <c r="D91" t="s">
        <v>37</v>
      </c>
      <c r="E91" t="str">
        <f t="shared" si="6"/>
        <v>OPS06</v>
      </c>
      <c r="F91" t="str">
        <f>_xlfn.XLOOKUP(E91,Lookup_Departments!A:A,Lookup_Departments!B:B)</f>
        <v>Operations</v>
      </c>
      <c r="G91" s="15">
        <v>43436</v>
      </c>
      <c r="H91" s="5">
        <v>68683</v>
      </c>
      <c r="I91">
        <v>90</v>
      </c>
      <c r="J91" t="str">
        <f>_xlfn.XLOOKUP(I91,Lookup_Performance!A:A, Lookup_Performance!C:C,  , -1)</f>
        <v>Exceeding</v>
      </c>
      <c r="K91" t="s">
        <v>45</v>
      </c>
      <c r="L91" t="str">
        <f t="shared" si="7"/>
        <v>ACTIVE</v>
      </c>
      <c r="M91">
        <f t="shared" ca="1" si="8"/>
        <v>7</v>
      </c>
      <c r="N91" s="10">
        <f>_xlfn.XLOOKUP(J:J,Lookup_Performance!C:C,Lookup_Performance!D:D, "Not Found")</f>
        <v>0.08</v>
      </c>
      <c r="O91" s="3">
        <f t="shared" si="9"/>
        <v>5494.64</v>
      </c>
      <c r="P91" t="str">
        <f t="shared" si="10"/>
        <v>NO</v>
      </c>
    </row>
    <row r="92" spans="1:16" x14ac:dyDescent="0.25">
      <c r="A92" t="s">
        <v>192</v>
      </c>
      <c r="B92" t="s">
        <v>9</v>
      </c>
      <c r="C92" t="s">
        <v>60</v>
      </c>
      <c r="D92" t="s">
        <v>26</v>
      </c>
      <c r="E92" t="str">
        <f t="shared" si="6"/>
        <v>FIN03</v>
      </c>
      <c r="F92" t="str">
        <f>_xlfn.XLOOKUP(E92,Lookup_Departments!A:A,Lookup_Departments!B:B)</f>
        <v>Finance</v>
      </c>
      <c r="G92" s="15">
        <v>43639</v>
      </c>
      <c r="H92" s="5">
        <v>83932</v>
      </c>
      <c r="I92">
        <v>57</v>
      </c>
      <c r="J92" t="str">
        <f>_xlfn.XLOOKUP(I92,Lookup_Performance!A:A, Lookup_Performance!C:C,  , -1)</f>
        <v>Developing</v>
      </c>
      <c r="K92" t="s">
        <v>22</v>
      </c>
      <c r="L92" t="str">
        <f t="shared" si="7"/>
        <v>LEFT</v>
      </c>
      <c r="M92">
        <f t="shared" ca="1" si="8"/>
        <v>7</v>
      </c>
      <c r="N92" s="10">
        <f>_xlfn.XLOOKUP(J:J,Lookup_Performance!C:C,Lookup_Performance!D:D, "Not Found")</f>
        <v>0.02</v>
      </c>
      <c r="O92" s="3">
        <f t="shared" si="9"/>
        <v>1678.64</v>
      </c>
      <c r="P92" t="str">
        <f t="shared" si="10"/>
        <v>YES</v>
      </c>
    </row>
    <row r="93" spans="1:16" x14ac:dyDescent="0.25">
      <c r="A93" t="s">
        <v>193</v>
      </c>
      <c r="B93" t="s">
        <v>53</v>
      </c>
      <c r="C93" t="s">
        <v>135</v>
      </c>
      <c r="D93" t="s">
        <v>97</v>
      </c>
      <c r="E93" t="str">
        <f t="shared" si="6"/>
        <v>HR01</v>
      </c>
      <c r="F93" t="str">
        <f>_xlfn.XLOOKUP(E93,Lookup_Departments!A:A,Lookup_Departments!B:B)</f>
        <v>Human Resources</v>
      </c>
      <c r="G93" s="15">
        <v>42304</v>
      </c>
      <c r="H93" s="5">
        <v>56073</v>
      </c>
      <c r="I93">
        <v>79</v>
      </c>
      <c r="J93" t="str">
        <f>_xlfn.XLOOKUP(I93,Lookup_Performance!A:A, Lookup_Performance!C:C,  , -1)</f>
        <v>Achieving</v>
      </c>
      <c r="K93" t="s">
        <v>45</v>
      </c>
      <c r="L93" t="str">
        <f t="shared" si="7"/>
        <v>ACTIVE</v>
      </c>
      <c r="M93">
        <f t="shared" ca="1" si="8"/>
        <v>10</v>
      </c>
      <c r="N93" s="10">
        <f>_xlfn.XLOOKUP(J:J,Lookup_Performance!C:C,Lookup_Performance!D:D, "Not Found")</f>
        <v>0.05</v>
      </c>
      <c r="O93" s="3">
        <f t="shared" si="9"/>
        <v>2803.65</v>
      </c>
      <c r="P93" t="str">
        <f t="shared" si="10"/>
        <v>NO</v>
      </c>
    </row>
    <row r="94" spans="1:16" x14ac:dyDescent="0.25">
      <c r="A94" t="s">
        <v>194</v>
      </c>
      <c r="B94" t="s">
        <v>160</v>
      </c>
      <c r="C94" t="s">
        <v>32</v>
      </c>
      <c r="D94" t="s">
        <v>20</v>
      </c>
      <c r="E94" t="str">
        <f t="shared" si="6"/>
        <v>IT02</v>
      </c>
      <c r="F94" t="str">
        <f>_xlfn.XLOOKUP(E94,Lookup_Departments!A:A,Lookup_Departments!B:B)</f>
        <v>Information Technology</v>
      </c>
      <c r="G94" s="15">
        <v>43270</v>
      </c>
      <c r="H94" s="5">
        <v>88056</v>
      </c>
      <c r="I94">
        <v>66</v>
      </c>
      <c r="J94" t="str">
        <f>_xlfn.XLOOKUP(I94,Lookup_Performance!A:A, Lookup_Performance!C:C,  , -1)</f>
        <v>Developing</v>
      </c>
      <c r="K94" t="s">
        <v>45</v>
      </c>
      <c r="L94" t="str">
        <f t="shared" si="7"/>
        <v>ACTIVE</v>
      </c>
      <c r="M94">
        <f t="shared" ca="1" si="8"/>
        <v>8</v>
      </c>
      <c r="N94" s="10">
        <f>_xlfn.XLOOKUP(J:J,Lookup_Performance!C:C,Lookup_Performance!D:D, "Not Found")</f>
        <v>0.02</v>
      </c>
      <c r="O94" s="3">
        <f t="shared" si="9"/>
        <v>1761.1200000000001</v>
      </c>
      <c r="P94" t="str">
        <f t="shared" si="10"/>
        <v>NO</v>
      </c>
    </row>
    <row r="95" spans="1:16" x14ac:dyDescent="0.25">
      <c r="A95" t="s">
        <v>196</v>
      </c>
      <c r="B95" t="s">
        <v>28</v>
      </c>
      <c r="C95" t="s">
        <v>47</v>
      </c>
      <c r="D95" t="s">
        <v>165</v>
      </c>
      <c r="E95" t="str">
        <f t="shared" si="6"/>
        <v>OPS06</v>
      </c>
      <c r="F95" t="str">
        <f>_xlfn.XLOOKUP(E95,Lookup_Departments!A:A,Lookup_Departments!B:B)</f>
        <v>Operations</v>
      </c>
      <c r="G95" s="15">
        <v>43112</v>
      </c>
      <c r="H95" s="5">
        <v>67414</v>
      </c>
      <c r="I95">
        <v>84</v>
      </c>
      <c r="J95" t="str">
        <f>_xlfn.XLOOKUP(I95,Lookup_Performance!A:A, Lookup_Performance!C:C,  , -1)</f>
        <v>Achieving</v>
      </c>
      <c r="K95" t="s">
        <v>30</v>
      </c>
      <c r="L95" t="str">
        <f t="shared" si="7"/>
        <v>LEFT</v>
      </c>
      <c r="M95">
        <f t="shared" ca="1" si="8"/>
        <v>8</v>
      </c>
      <c r="N95" s="10">
        <f>_xlfn.XLOOKUP(J:J,Lookup_Performance!C:C,Lookup_Performance!D:D, "Not Found")</f>
        <v>0.05</v>
      </c>
      <c r="O95" s="3">
        <f t="shared" si="9"/>
        <v>3370.7000000000003</v>
      </c>
      <c r="P95" t="str">
        <f t="shared" si="10"/>
        <v>YES</v>
      </c>
    </row>
    <row r="96" spans="1:16" x14ac:dyDescent="0.25">
      <c r="A96" t="s">
        <v>197</v>
      </c>
      <c r="B96" t="s">
        <v>39</v>
      </c>
      <c r="C96" t="s">
        <v>19</v>
      </c>
      <c r="D96" t="s">
        <v>44</v>
      </c>
      <c r="E96" t="str">
        <f t="shared" si="6"/>
        <v>SAL05</v>
      </c>
      <c r="F96" t="str">
        <f>_xlfn.XLOOKUP(E96,Lookup_Departments!A:A,Lookup_Departments!B:B)</f>
        <v>Sales</v>
      </c>
      <c r="G96" s="15">
        <v>42008</v>
      </c>
      <c r="H96" s="5">
        <v>115288</v>
      </c>
      <c r="I96">
        <v>61</v>
      </c>
      <c r="J96" t="str">
        <f>_xlfn.XLOOKUP(I96,Lookup_Performance!A:A, Lookup_Performance!C:C,  , -1)</f>
        <v>Developing</v>
      </c>
      <c r="K96" t="s">
        <v>45</v>
      </c>
      <c r="L96" t="str">
        <f t="shared" si="7"/>
        <v>ACTIVE</v>
      </c>
      <c r="M96">
        <f t="shared" ca="1" si="8"/>
        <v>11</v>
      </c>
      <c r="N96" s="10">
        <f>_xlfn.XLOOKUP(J:J,Lookup_Performance!C:C,Lookup_Performance!D:D, "Not Found")</f>
        <v>0.02</v>
      </c>
      <c r="O96" s="3">
        <f t="shared" si="9"/>
        <v>2305.7600000000002</v>
      </c>
      <c r="P96" t="str">
        <f t="shared" si="10"/>
        <v>NO</v>
      </c>
    </row>
    <row r="97" spans="1:16" x14ac:dyDescent="0.25">
      <c r="A97" t="s">
        <v>199</v>
      </c>
      <c r="B97" t="s">
        <v>105</v>
      </c>
      <c r="C97" t="s">
        <v>29</v>
      </c>
      <c r="D97" t="s">
        <v>44</v>
      </c>
      <c r="E97" t="str">
        <f t="shared" si="6"/>
        <v>SAL05</v>
      </c>
      <c r="F97" t="str">
        <f>_xlfn.XLOOKUP(E97,Lookup_Departments!A:A,Lookup_Departments!B:B)</f>
        <v>Sales</v>
      </c>
      <c r="G97" s="15">
        <v>43439</v>
      </c>
      <c r="H97" s="5">
        <v>80140</v>
      </c>
      <c r="I97">
        <v>58</v>
      </c>
      <c r="J97" t="str">
        <f>_xlfn.XLOOKUP(I97,Lookup_Performance!A:A, Lookup_Performance!C:C,  , -1)</f>
        <v>Developing</v>
      </c>
      <c r="K97" t="s">
        <v>45</v>
      </c>
      <c r="L97" t="str">
        <f t="shared" si="7"/>
        <v>ACTIVE</v>
      </c>
      <c r="M97">
        <f t="shared" ca="1" si="8"/>
        <v>7</v>
      </c>
      <c r="N97" s="10">
        <f>_xlfn.XLOOKUP(J:J,Lookup_Performance!C:C,Lookup_Performance!D:D, "Not Found")</f>
        <v>0.02</v>
      </c>
      <c r="O97" s="3">
        <f t="shared" si="9"/>
        <v>1602.8</v>
      </c>
      <c r="P97" t="str">
        <f t="shared" si="10"/>
        <v>NO</v>
      </c>
    </row>
    <row r="98" spans="1:16" x14ac:dyDescent="0.25">
      <c r="A98" t="s">
        <v>200</v>
      </c>
      <c r="B98" t="s">
        <v>28</v>
      </c>
      <c r="C98" t="s">
        <v>32</v>
      </c>
      <c r="D98" t="s">
        <v>11</v>
      </c>
      <c r="E98" t="str">
        <f t="shared" si="6"/>
        <v>IT02</v>
      </c>
      <c r="F98" t="str">
        <f>_xlfn.XLOOKUP(E98,Lookup_Departments!A:A,Lookup_Departments!B:B)</f>
        <v>Information Technology</v>
      </c>
      <c r="G98" s="15">
        <v>44482</v>
      </c>
      <c r="H98" s="5">
        <v>73087</v>
      </c>
      <c r="I98">
        <v>69</v>
      </c>
      <c r="J98" t="str">
        <f>_xlfn.XLOOKUP(I98,Lookup_Performance!A:A, Lookup_Performance!C:C,  , -1)</f>
        <v>Developing</v>
      </c>
      <c r="K98" t="s">
        <v>45</v>
      </c>
      <c r="L98" t="str">
        <f t="shared" si="7"/>
        <v>ACTIVE</v>
      </c>
      <c r="M98">
        <f t="shared" ca="1" si="8"/>
        <v>4</v>
      </c>
      <c r="N98" s="10">
        <f>_xlfn.XLOOKUP(J:J,Lookup_Performance!C:C,Lookup_Performance!D:D, "Not Found")</f>
        <v>0.02</v>
      </c>
      <c r="O98" s="3">
        <f t="shared" si="9"/>
        <v>1461.74</v>
      </c>
      <c r="P98" t="str">
        <f t="shared" si="10"/>
        <v>NO</v>
      </c>
    </row>
    <row r="99" spans="1:16" x14ac:dyDescent="0.25">
      <c r="A99" t="s">
        <v>201</v>
      </c>
      <c r="B99" t="s">
        <v>160</v>
      </c>
      <c r="C99" t="s">
        <v>32</v>
      </c>
      <c r="D99" t="s">
        <v>79</v>
      </c>
      <c r="E99" t="str">
        <f t="shared" si="6"/>
        <v>SAL05</v>
      </c>
      <c r="F99" t="str">
        <f>_xlfn.XLOOKUP(E99,Lookup_Departments!A:A,Lookup_Departments!B:B)</f>
        <v>Sales</v>
      </c>
      <c r="G99" s="15">
        <v>44081</v>
      </c>
      <c r="H99" s="5">
        <v>95292</v>
      </c>
      <c r="I99">
        <v>34</v>
      </c>
      <c r="J99" t="str">
        <f>_xlfn.XLOOKUP(I99,Lookup_Performance!A:A, Lookup_Performance!C:C,  , -1)</f>
        <v>Needs Improvement</v>
      </c>
      <c r="K99" t="s">
        <v>12</v>
      </c>
      <c r="L99" t="str">
        <f t="shared" si="7"/>
        <v>ACTIVE</v>
      </c>
      <c r="M99">
        <f t="shared" ca="1" si="8"/>
        <v>5</v>
      </c>
      <c r="N99" s="10">
        <f>_xlfn.XLOOKUP(J:J,Lookup_Performance!C:C,Lookup_Performance!D:D, "Not Found")</f>
        <v>0</v>
      </c>
      <c r="O99" s="3">
        <f t="shared" si="9"/>
        <v>0</v>
      </c>
      <c r="P99" t="str">
        <f t="shared" si="10"/>
        <v>NO</v>
      </c>
    </row>
    <row r="100" spans="1:16" x14ac:dyDescent="0.25">
      <c r="A100" t="s">
        <v>202</v>
      </c>
      <c r="B100" t="str">
        <f>B99</f>
        <v>William</v>
      </c>
      <c r="C100" t="s">
        <v>60</v>
      </c>
      <c r="D100" t="s">
        <v>20</v>
      </c>
      <c r="E100" t="str">
        <f t="shared" si="6"/>
        <v>IT02</v>
      </c>
      <c r="F100" t="str">
        <f>_xlfn.XLOOKUP(E100,Lookup_Departments!A:A,Lookup_Departments!B:B)</f>
        <v>Information Technology</v>
      </c>
      <c r="G100" s="15">
        <v>43532</v>
      </c>
      <c r="H100" s="5">
        <v>83603.929999999993</v>
      </c>
      <c r="I100">
        <v>33</v>
      </c>
      <c r="J100" t="str">
        <f>_xlfn.XLOOKUP(I100,Lookup_Performance!A:A, Lookup_Performance!C:C,  , -1)</f>
        <v>Needs Improvement</v>
      </c>
      <c r="K100" t="s">
        <v>12</v>
      </c>
      <c r="L100" t="str">
        <f t="shared" si="7"/>
        <v>ACTIVE</v>
      </c>
      <c r="M100">
        <f t="shared" ca="1" si="8"/>
        <v>7</v>
      </c>
      <c r="N100" s="10">
        <f>_xlfn.XLOOKUP(J:J,Lookup_Performance!C:C,Lookup_Performance!D:D, "Not Found")</f>
        <v>0</v>
      </c>
      <c r="O100" s="3">
        <f t="shared" si="9"/>
        <v>0</v>
      </c>
      <c r="P100" t="str">
        <f t="shared" si="10"/>
        <v>NO</v>
      </c>
    </row>
    <row r="101" spans="1:16" x14ac:dyDescent="0.25">
      <c r="A101" t="s">
        <v>204</v>
      </c>
      <c r="B101" t="s">
        <v>24</v>
      </c>
      <c r="C101" t="s">
        <v>69</v>
      </c>
      <c r="D101" t="s">
        <v>16</v>
      </c>
      <c r="E101" t="str">
        <f t="shared" si="6"/>
        <v>MKT04</v>
      </c>
      <c r="F101" t="str">
        <f>_xlfn.XLOOKUP(E101,Lookup_Departments!A:A,Lookup_Departments!B:B)</f>
        <v>Marketing</v>
      </c>
      <c r="G101" s="15">
        <v>42074</v>
      </c>
      <c r="H101" s="5">
        <v>101750</v>
      </c>
      <c r="I101">
        <v>84</v>
      </c>
      <c r="J101" t="str">
        <f>_xlfn.XLOOKUP(I101,Lookup_Performance!A:A, Lookup_Performance!C:C,  , -1)</f>
        <v>Achieving</v>
      </c>
      <c r="K101" t="s">
        <v>108</v>
      </c>
      <c r="L101" t="str">
        <f t="shared" si="7"/>
        <v>LEFT</v>
      </c>
      <c r="M101">
        <f t="shared" ca="1" si="8"/>
        <v>11</v>
      </c>
      <c r="N101" s="10">
        <f>_xlfn.XLOOKUP(J:J,Lookup_Performance!C:C,Lookup_Performance!D:D, "Not Found")</f>
        <v>0.05</v>
      </c>
      <c r="O101" s="3">
        <f t="shared" si="9"/>
        <v>5087.5</v>
      </c>
      <c r="P101" t="str">
        <f t="shared" si="10"/>
        <v>YES</v>
      </c>
    </row>
    <row r="102" spans="1:16" x14ac:dyDescent="0.25">
      <c r="A102" t="s">
        <v>206</v>
      </c>
      <c r="B102" t="s">
        <v>53</v>
      </c>
      <c r="C102" t="s">
        <v>19</v>
      </c>
      <c r="D102" t="s">
        <v>55</v>
      </c>
      <c r="E102" t="str">
        <f t="shared" si="6"/>
        <v>MKT04</v>
      </c>
      <c r="F102" t="str">
        <f>_xlfn.XLOOKUP(E102,Lookup_Departments!A:A,Lookup_Departments!B:B)</f>
        <v>Marketing</v>
      </c>
      <c r="G102" s="15">
        <v>42785</v>
      </c>
      <c r="H102" s="5">
        <v>82992</v>
      </c>
      <c r="I102">
        <v>79</v>
      </c>
      <c r="J102" t="str">
        <f>_xlfn.XLOOKUP(I102,Lookup_Performance!A:A, Lookup_Performance!C:C,  , -1)</f>
        <v>Achieving</v>
      </c>
      <c r="K102" t="s">
        <v>45</v>
      </c>
      <c r="L102" t="str">
        <f t="shared" si="7"/>
        <v>ACTIVE</v>
      </c>
      <c r="M102">
        <f t="shared" ca="1" si="8"/>
        <v>9</v>
      </c>
      <c r="N102" s="10">
        <f>_xlfn.XLOOKUP(J:J,Lookup_Performance!C:C,Lookup_Performance!D:D, "Not Found")</f>
        <v>0.05</v>
      </c>
      <c r="O102" s="3">
        <f t="shared" si="9"/>
        <v>4149.6000000000004</v>
      </c>
      <c r="P102" t="str">
        <f t="shared" si="10"/>
        <v>NO</v>
      </c>
    </row>
    <row r="103" spans="1:16" x14ac:dyDescent="0.25">
      <c r="A103" t="s">
        <v>208</v>
      </c>
      <c r="B103" t="s">
        <v>24</v>
      </c>
      <c r="C103" t="s">
        <v>64</v>
      </c>
      <c r="D103" t="s">
        <v>11</v>
      </c>
      <c r="E103" t="str">
        <f t="shared" si="6"/>
        <v>IT02</v>
      </c>
      <c r="F103" t="str">
        <f>_xlfn.XLOOKUP(E103,Lookup_Departments!A:A,Lookup_Departments!B:B)</f>
        <v>Information Technology</v>
      </c>
      <c r="G103" s="15">
        <v>45055</v>
      </c>
      <c r="H103" s="5">
        <v>49942</v>
      </c>
      <c r="I103">
        <v>51</v>
      </c>
      <c r="J103" t="str">
        <f>_xlfn.XLOOKUP(I103,Lookup_Performance!A:A, Lookup_Performance!C:C,  , -1)</f>
        <v>Developing</v>
      </c>
      <c r="K103" t="s">
        <v>12</v>
      </c>
      <c r="L103" t="str">
        <f t="shared" si="7"/>
        <v>ACTIVE</v>
      </c>
      <c r="M103">
        <f t="shared" ca="1" si="8"/>
        <v>3</v>
      </c>
      <c r="N103" s="10">
        <f>_xlfn.XLOOKUP(J:J,Lookup_Performance!C:C,Lookup_Performance!D:D, "Not Found")</f>
        <v>0.02</v>
      </c>
      <c r="O103" s="3">
        <f t="shared" si="9"/>
        <v>998.84</v>
      </c>
      <c r="P103" t="str">
        <f t="shared" si="10"/>
        <v>NO</v>
      </c>
    </row>
    <row r="104" spans="1:16" x14ac:dyDescent="0.25">
      <c r="A104" t="s">
        <v>210</v>
      </c>
      <c r="B104" t="s">
        <v>53</v>
      </c>
      <c r="C104" t="s">
        <v>29</v>
      </c>
      <c r="D104" t="s">
        <v>37</v>
      </c>
      <c r="E104" t="str">
        <f t="shared" si="6"/>
        <v>OPS06</v>
      </c>
      <c r="F104" t="str">
        <f>_xlfn.XLOOKUP(E104,Lookup_Departments!A:A,Lookup_Departments!B:B)</f>
        <v>Operations</v>
      </c>
      <c r="G104" s="15">
        <v>43122</v>
      </c>
      <c r="H104" s="5">
        <v>89060</v>
      </c>
      <c r="I104">
        <v>58</v>
      </c>
      <c r="J104" t="str">
        <f>_xlfn.XLOOKUP(I104,Lookup_Performance!A:A, Lookup_Performance!C:C,  , -1)</f>
        <v>Developing</v>
      </c>
      <c r="K104" t="s">
        <v>12</v>
      </c>
      <c r="L104" t="str">
        <f t="shared" si="7"/>
        <v>ACTIVE</v>
      </c>
      <c r="M104">
        <f t="shared" ca="1" si="8"/>
        <v>8</v>
      </c>
      <c r="N104" s="10">
        <f>_xlfn.XLOOKUP(J:J,Lookup_Performance!C:C,Lookup_Performance!D:D, "Not Found")</f>
        <v>0.02</v>
      </c>
      <c r="O104" s="3">
        <f t="shared" si="9"/>
        <v>1781.2</v>
      </c>
      <c r="P104" t="str">
        <f t="shared" si="10"/>
        <v>NO</v>
      </c>
    </row>
    <row r="105" spans="1:16" x14ac:dyDescent="0.25">
      <c r="A105" t="s">
        <v>211</v>
      </c>
      <c r="B105" t="s">
        <v>105</v>
      </c>
      <c r="C105" t="s">
        <v>19</v>
      </c>
      <c r="D105" t="s">
        <v>11</v>
      </c>
      <c r="E105" t="str">
        <f t="shared" si="6"/>
        <v>IT02</v>
      </c>
      <c r="F105" t="str">
        <f>_xlfn.XLOOKUP(E105,Lookup_Departments!A:A,Lookup_Departments!B:B)</f>
        <v>Information Technology</v>
      </c>
      <c r="G105" s="15">
        <v>43879</v>
      </c>
      <c r="H105" s="5">
        <v>53786</v>
      </c>
      <c r="I105">
        <v>98</v>
      </c>
      <c r="J105" t="str">
        <f>_xlfn.XLOOKUP(I105,Lookup_Performance!A:A, Lookup_Performance!C:C,  , -1)</f>
        <v>Outstanding</v>
      </c>
      <c r="K105" t="s">
        <v>45</v>
      </c>
      <c r="L105" t="str">
        <f t="shared" si="7"/>
        <v>ACTIVE</v>
      </c>
      <c r="M105">
        <f t="shared" ca="1" si="8"/>
        <v>6</v>
      </c>
      <c r="N105" s="10">
        <f>_xlfn.XLOOKUP(J:J,Lookup_Performance!C:C,Lookup_Performance!D:D, "Not Found")</f>
        <v>0.12</v>
      </c>
      <c r="O105" s="3">
        <f t="shared" si="9"/>
        <v>6454.32</v>
      </c>
      <c r="P105" t="str">
        <f t="shared" si="10"/>
        <v>NO</v>
      </c>
    </row>
    <row r="106" spans="1:16" x14ac:dyDescent="0.25">
      <c r="A106" t="s">
        <v>212</v>
      </c>
      <c r="B106" t="s">
        <v>160</v>
      </c>
      <c r="C106" t="s">
        <v>32</v>
      </c>
      <c r="D106" t="s">
        <v>33</v>
      </c>
      <c r="E106" t="str">
        <f t="shared" si="6"/>
        <v>OPS06</v>
      </c>
      <c r="F106" t="str">
        <f>_xlfn.XLOOKUP(E106,Lookup_Departments!A:A,Lookup_Departments!B:B)</f>
        <v>Operations</v>
      </c>
      <c r="G106" s="15">
        <v>42512</v>
      </c>
      <c r="H106" s="5">
        <v>81167</v>
      </c>
      <c r="I106">
        <v>68</v>
      </c>
      <c r="J106" t="str">
        <f>_xlfn.XLOOKUP(I106,Lookup_Performance!A:A, Lookup_Performance!C:C,  , -1)</f>
        <v>Developing</v>
      </c>
      <c r="K106" t="s">
        <v>45</v>
      </c>
      <c r="L106" t="str">
        <f t="shared" si="7"/>
        <v>ACTIVE</v>
      </c>
      <c r="M106">
        <f t="shared" ca="1" si="8"/>
        <v>10</v>
      </c>
      <c r="N106" s="10">
        <f>_xlfn.XLOOKUP(J:J,Lookup_Performance!C:C,Lookup_Performance!D:D, "Not Found")</f>
        <v>0.02</v>
      </c>
      <c r="O106" s="3">
        <f t="shared" si="9"/>
        <v>1623.3400000000001</v>
      </c>
      <c r="P106" t="str">
        <f t="shared" si="10"/>
        <v>NO</v>
      </c>
    </row>
    <row r="107" spans="1:16" x14ac:dyDescent="0.25">
      <c r="A107" t="s">
        <v>214</v>
      </c>
      <c r="B107" t="s">
        <v>24</v>
      </c>
      <c r="C107" t="s">
        <v>54</v>
      </c>
      <c r="D107" t="s">
        <v>16</v>
      </c>
      <c r="E107" t="str">
        <f t="shared" si="6"/>
        <v>MKT04</v>
      </c>
      <c r="F107" t="str">
        <f>_xlfn.XLOOKUP(E107,Lookup_Departments!A:A,Lookup_Departments!B:B)</f>
        <v>Marketing</v>
      </c>
      <c r="G107" s="15">
        <v>44349</v>
      </c>
      <c r="H107" s="5">
        <v>66688</v>
      </c>
      <c r="I107">
        <v>40</v>
      </c>
      <c r="J107" t="str">
        <f>_xlfn.XLOOKUP(I107,Lookup_Performance!A:A, Lookup_Performance!C:C,  , -1)</f>
        <v>Needs Improvement</v>
      </c>
      <c r="K107" t="s">
        <v>108</v>
      </c>
      <c r="L107" t="str">
        <f t="shared" si="7"/>
        <v>LEFT</v>
      </c>
      <c r="M107">
        <f t="shared" ca="1" si="8"/>
        <v>5</v>
      </c>
      <c r="N107" s="10">
        <f>_xlfn.XLOOKUP(J:J,Lookup_Performance!C:C,Lookup_Performance!D:D, "Not Found")</f>
        <v>0</v>
      </c>
      <c r="O107" s="3">
        <f t="shared" si="9"/>
        <v>0</v>
      </c>
      <c r="P107" t="str">
        <f t="shared" si="10"/>
        <v>YES</v>
      </c>
    </row>
    <row r="108" spans="1:16" x14ac:dyDescent="0.25">
      <c r="A108" t="s">
        <v>215</v>
      </c>
      <c r="B108" t="s">
        <v>66</v>
      </c>
      <c r="C108" t="s">
        <v>60</v>
      </c>
      <c r="D108" t="s">
        <v>11</v>
      </c>
      <c r="E108" t="str">
        <f t="shared" si="6"/>
        <v>IT02</v>
      </c>
      <c r="F108" t="str">
        <f>_xlfn.XLOOKUP(E108,Lookup_Departments!A:A,Lookup_Departments!B:B)</f>
        <v>Information Technology</v>
      </c>
      <c r="G108" s="15">
        <v>44394</v>
      </c>
      <c r="H108" s="5">
        <v>91672</v>
      </c>
      <c r="I108">
        <v>88</v>
      </c>
      <c r="J108" t="str">
        <f>_xlfn.XLOOKUP(I108,Lookup_Performance!A:A, Lookup_Performance!C:C,  , -1)</f>
        <v>Exceeding</v>
      </c>
      <c r="K108" t="s">
        <v>17</v>
      </c>
      <c r="L108" t="str">
        <f t="shared" si="7"/>
        <v>ACTIVE</v>
      </c>
      <c r="M108">
        <f t="shared" ca="1" si="8"/>
        <v>4</v>
      </c>
      <c r="N108" s="10">
        <f>_xlfn.XLOOKUP(J:J,Lookup_Performance!C:C,Lookup_Performance!D:D, "Not Found")</f>
        <v>0.08</v>
      </c>
      <c r="O108" s="3">
        <f t="shared" si="9"/>
        <v>7333.76</v>
      </c>
      <c r="P108" t="str">
        <f t="shared" si="10"/>
        <v>NO</v>
      </c>
    </row>
    <row r="109" spans="1:16" x14ac:dyDescent="0.25">
      <c r="A109" t="s">
        <v>216</v>
      </c>
      <c r="B109" t="s">
        <v>9</v>
      </c>
      <c r="C109" t="s">
        <v>19</v>
      </c>
      <c r="D109" t="s">
        <v>157</v>
      </c>
      <c r="E109" t="str">
        <f t="shared" si="6"/>
        <v>HR01</v>
      </c>
      <c r="F109" t="str">
        <f>_xlfn.XLOOKUP(E109,Lookup_Departments!A:A,Lookup_Departments!B:B)</f>
        <v>Human Resources</v>
      </c>
      <c r="G109" s="15">
        <v>42687</v>
      </c>
      <c r="H109" s="5">
        <v>77737</v>
      </c>
      <c r="I109">
        <v>77</v>
      </c>
      <c r="J109" t="str">
        <f>_xlfn.XLOOKUP(I109,Lookup_Performance!A:A, Lookup_Performance!C:C,  , -1)</f>
        <v>Achieving</v>
      </c>
      <c r="K109" t="s">
        <v>12</v>
      </c>
      <c r="L109" t="str">
        <f t="shared" si="7"/>
        <v>ACTIVE</v>
      </c>
      <c r="M109">
        <f t="shared" ca="1" si="8"/>
        <v>9</v>
      </c>
      <c r="N109" s="10">
        <f>_xlfn.XLOOKUP(J:J,Lookup_Performance!C:C,Lookup_Performance!D:D, "Not Found")</f>
        <v>0.05</v>
      </c>
      <c r="O109" s="3">
        <f t="shared" si="9"/>
        <v>3886.8500000000004</v>
      </c>
      <c r="P109" t="str">
        <f t="shared" si="10"/>
        <v>NO</v>
      </c>
    </row>
    <row r="110" spans="1:16" x14ac:dyDescent="0.25">
      <c r="A110" t="s">
        <v>219</v>
      </c>
      <c r="B110" t="s">
        <v>160</v>
      </c>
      <c r="C110" t="s">
        <v>47</v>
      </c>
      <c r="D110" t="s">
        <v>79</v>
      </c>
      <c r="E110" t="str">
        <f t="shared" si="6"/>
        <v>SAL05</v>
      </c>
      <c r="F110" t="str">
        <f>_xlfn.XLOOKUP(E110,Lookup_Departments!A:A,Lookup_Departments!B:B)</f>
        <v>Sales</v>
      </c>
      <c r="G110" s="15">
        <v>43513</v>
      </c>
      <c r="H110" s="5">
        <v>95686</v>
      </c>
      <c r="I110">
        <v>91</v>
      </c>
      <c r="J110" t="str">
        <f>_xlfn.XLOOKUP(I110,Lookup_Performance!A:A, Lookup_Performance!C:C,  , -1)</f>
        <v>Exceeding</v>
      </c>
      <c r="K110" t="s">
        <v>12</v>
      </c>
      <c r="L110" t="str">
        <f t="shared" si="7"/>
        <v>ACTIVE</v>
      </c>
      <c r="M110">
        <f t="shared" ca="1" si="8"/>
        <v>7</v>
      </c>
      <c r="N110" s="10">
        <f>_xlfn.XLOOKUP(J:J,Lookup_Performance!C:C,Lookup_Performance!D:D, "Not Found")</f>
        <v>0.08</v>
      </c>
      <c r="O110" s="3">
        <f t="shared" si="9"/>
        <v>7654.88</v>
      </c>
      <c r="P110" t="str">
        <f t="shared" si="10"/>
        <v>NO</v>
      </c>
    </row>
    <row r="111" spans="1:16" x14ac:dyDescent="0.25">
      <c r="A111" t="s">
        <v>221</v>
      </c>
      <c r="B111" t="s">
        <v>66</v>
      </c>
      <c r="C111" t="s">
        <v>29</v>
      </c>
      <c r="D111" t="s">
        <v>44</v>
      </c>
      <c r="E111" t="str">
        <f t="shared" si="6"/>
        <v>SAL05</v>
      </c>
      <c r="F111" t="str">
        <f>_xlfn.XLOOKUP(E111,Lookup_Departments!A:A,Lookup_Departments!B:B)</f>
        <v>Sales</v>
      </c>
      <c r="G111" s="15">
        <v>42625</v>
      </c>
      <c r="H111" s="5">
        <v>114681</v>
      </c>
      <c r="I111">
        <v>36</v>
      </c>
      <c r="J111" t="str">
        <f>_xlfn.XLOOKUP(I111,Lookup_Performance!A:A, Lookup_Performance!C:C,  , -1)</f>
        <v>Needs Improvement</v>
      </c>
      <c r="K111" t="s">
        <v>17</v>
      </c>
      <c r="L111" t="str">
        <f t="shared" si="7"/>
        <v>ACTIVE</v>
      </c>
      <c r="M111">
        <f t="shared" ca="1" si="8"/>
        <v>9</v>
      </c>
      <c r="N111" s="10">
        <f>_xlfn.XLOOKUP(J:J,Lookup_Performance!C:C,Lookup_Performance!D:D, "Not Found")</f>
        <v>0</v>
      </c>
      <c r="O111" s="3">
        <f t="shared" si="9"/>
        <v>0</v>
      </c>
      <c r="P111" t="str">
        <f t="shared" si="10"/>
        <v>NO</v>
      </c>
    </row>
    <row r="112" spans="1:16" x14ac:dyDescent="0.25">
      <c r="A112" t="s">
        <v>222</v>
      </c>
      <c r="B112" t="s">
        <v>39</v>
      </c>
      <c r="C112" t="s">
        <v>60</v>
      </c>
      <c r="D112" t="s">
        <v>37</v>
      </c>
      <c r="E112" t="str">
        <f t="shared" si="6"/>
        <v>OPS06</v>
      </c>
      <c r="F112" t="str">
        <f>_xlfn.XLOOKUP(E112,Lookup_Departments!A:A,Lookup_Departments!B:B)</f>
        <v>Operations</v>
      </c>
      <c r="G112" s="15">
        <v>44421</v>
      </c>
      <c r="H112" s="5">
        <v>109121</v>
      </c>
      <c r="I112">
        <v>72</v>
      </c>
      <c r="J112" t="str">
        <f>_xlfn.XLOOKUP(I112,Lookup_Performance!A:A, Lookup_Performance!C:C,  , -1)</f>
        <v>Achieving</v>
      </c>
      <c r="K112" t="s">
        <v>45</v>
      </c>
      <c r="L112" t="str">
        <f t="shared" si="7"/>
        <v>ACTIVE</v>
      </c>
      <c r="M112">
        <f t="shared" ca="1" si="8"/>
        <v>4</v>
      </c>
      <c r="N112" s="10">
        <f>_xlfn.XLOOKUP(J:J,Lookup_Performance!C:C,Lookup_Performance!D:D, "Not Found")</f>
        <v>0.05</v>
      </c>
      <c r="O112" s="3">
        <f t="shared" si="9"/>
        <v>5456.05</v>
      </c>
      <c r="P112" t="str">
        <f t="shared" si="10"/>
        <v>NO</v>
      </c>
    </row>
    <row r="113" spans="1:16" x14ac:dyDescent="0.25">
      <c r="A113" t="s">
        <v>225</v>
      </c>
      <c r="B113" t="s">
        <v>94</v>
      </c>
      <c r="C113" t="s">
        <v>10</v>
      </c>
      <c r="D113" t="s">
        <v>16</v>
      </c>
      <c r="E113" t="str">
        <f t="shared" si="6"/>
        <v>MKT04</v>
      </c>
      <c r="F113" t="str">
        <f>_xlfn.XLOOKUP(E113,Lookup_Departments!A:A,Lookup_Departments!B:B)</f>
        <v>Marketing</v>
      </c>
      <c r="G113" s="15">
        <v>43996</v>
      </c>
      <c r="H113" s="5">
        <v>112791</v>
      </c>
      <c r="I113">
        <v>87</v>
      </c>
      <c r="J113" t="str">
        <f>_xlfn.XLOOKUP(I113,Lookup_Performance!A:A, Lookup_Performance!C:C,  , -1)</f>
        <v>Exceeding</v>
      </c>
      <c r="K113" t="s">
        <v>12</v>
      </c>
      <c r="L113" t="str">
        <f t="shared" si="7"/>
        <v>ACTIVE</v>
      </c>
      <c r="M113">
        <f t="shared" ca="1" si="8"/>
        <v>6</v>
      </c>
      <c r="N113" s="10">
        <f>_xlfn.XLOOKUP(J:J,Lookup_Performance!C:C,Lookup_Performance!D:D, "Not Found")</f>
        <v>0.08</v>
      </c>
      <c r="O113" s="3">
        <f t="shared" si="9"/>
        <v>9023.2800000000007</v>
      </c>
      <c r="P113" t="str">
        <f t="shared" si="10"/>
        <v>NO</v>
      </c>
    </row>
    <row r="114" spans="1:16" x14ac:dyDescent="0.25">
      <c r="A114" t="s">
        <v>227</v>
      </c>
      <c r="B114" t="s">
        <v>39</v>
      </c>
      <c r="C114" t="s">
        <v>25</v>
      </c>
      <c r="D114" t="s">
        <v>20</v>
      </c>
      <c r="E114" t="str">
        <f t="shared" si="6"/>
        <v>IT02</v>
      </c>
      <c r="F114" t="str">
        <f>_xlfn.XLOOKUP(E114,Lookup_Departments!A:A,Lookup_Departments!B:B)</f>
        <v>Information Technology</v>
      </c>
      <c r="G114" s="15">
        <v>44747</v>
      </c>
      <c r="H114" s="5">
        <v>118008</v>
      </c>
      <c r="I114">
        <v>71</v>
      </c>
      <c r="J114" t="str">
        <f>_xlfn.XLOOKUP(I114,Lookup_Performance!A:A, Lookup_Performance!C:C,  , -1)</f>
        <v>Achieving</v>
      </c>
      <c r="K114" t="s">
        <v>12</v>
      </c>
      <c r="L114" t="str">
        <f t="shared" si="7"/>
        <v>ACTIVE</v>
      </c>
      <c r="M114">
        <f t="shared" ca="1" si="8"/>
        <v>4</v>
      </c>
      <c r="N114" s="10">
        <f>_xlfn.XLOOKUP(J:J,Lookup_Performance!C:C,Lookup_Performance!D:D, "Not Found")</f>
        <v>0.05</v>
      </c>
      <c r="O114" s="3">
        <f t="shared" si="9"/>
        <v>5900.4000000000005</v>
      </c>
      <c r="P114" t="str">
        <f t="shared" si="10"/>
        <v>NO</v>
      </c>
    </row>
    <row r="115" spans="1:16" x14ac:dyDescent="0.25">
      <c r="A115" t="s">
        <v>229</v>
      </c>
      <c r="B115" t="s">
        <v>28</v>
      </c>
      <c r="C115" t="s">
        <v>47</v>
      </c>
      <c r="D115" t="s">
        <v>11</v>
      </c>
      <c r="E115" t="str">
        <f t="shared" si="6"/>
        <v>IT02</v>
      </c>
      <c r="F115" t="str">
        <f>_xlfn.XLOOKUP(E115,Lookup_Departments!A:A,Lookup_Departments!B:B)</f>
        <v>Information Technology</v>
      </c>
      <c r="G115" s="15">
        <v>42561</v>
      </c>
      <c r="H115" s="5">
        <v>74370</v>
      </c>
      <c r="I115">
        <v>82</v>
      </c>
      <c r="J115" t="str">
        <f>_xlfn.XLOOKUP(I115,Lookup_Performance!A:A, Lookup_Performance!C:C,  , -1)</f>
        <v>Achieving</v>
      </c>
      <c r="K115" t="s">
        <v>45</v>
      </c>
      <c r="L115" t="str">
        <f t="shared" si="7"/>
        <v>ACTIVE</v>
      </c>
      <c r="M115">
        <f t="shared" ca="1" si="8"/>
        <v>9</v>
      </c>
      <c r="N115" s="10">
        <f>_xlfn.XLOOKUP(J:J,Lookup_Performance!C:C,Lookup_Performance!D:D, "Not Found")</f>
        <v>0.05</v>
      </c>
      <c r="O115" s="3">
        <f t="shared" si="9"/>
        <v>3718.5</v>
      </c>
      <c r="P115" t="str">
        <f t="shared" si="10"/>
        <v>NO</v>
      </c>
    </row>
    <row r="116" spans="1:16" x14ac:dyDescent="0.25">
      <c r="A116" t="s">
        <v>231</v>
      </c>
      <c r="B116" t="s">
        <v>71</v>
      </c>
      <c r="C116" t="s">
        <v>41</v>
      </c>
      <c r="D116" t="s">
        <v>20</v>
      </c>
      <c r="E116" t="str">
        <f t="shared" si="6"/>
        <v>IT02</v>
      </c>
      <c r="F116" t="str">
        <f>_xlfn.XLOOKUP(E116,Lookup_Departments!A:A,Lookup_Departments!B:B)</f>
        <v>Information Technology</v>
      </c>
      <c r="G116" s="15">
        <v>44674</v>
      </c>
      <c r="H116" s="5">
        <v>77819</v>
      </c>
      <c r="I116">
        <v>79</v>
      </c>
      <c r="J116" t="str">
        <f>_xlfn.XLOOKUP(I116,Lookup_Performance!A:A, Lookup_Performance!C:C,  , -1)</f>
        <v>Achieving</v>
      </c>
      <c r="K116" t="s">
        <v>17</v>
      </c>
      <c r="L116" t="str">
        <f t="shared" si="7"/>
        <v>ACTIVE</v>
      </c>
      <c r="M116">
        <f t="shared" ca="1" si="8"/>
        <v>4</v>
      </c>
      <c r="N116" s="10">
        <f>_xlfn.XLOOKUP(J:J,Lookup_Performance!C:C,Lookup_Performance!D:D, "Not Found")</f>
        <v>0.05</v>
      </c>
      <c r="O116" s="3">
        <f t="shared" si="9"/>
        <v>3890.9500000000003</v>
      </c>
      <c r="P116" t="str">
        <f t="shared" si="10"/>
        <v>NO</v>
      </c>
    </row>
    <row r="117" spans="1:16" x14ac:dyDescent="0.25">
      <c r="A117" t="s">
        <v>232</v>
      </c>
      <c r="B117" t="s">
        <v>59</v>
      </c>
      <c r="C117" t="s">
        <v>47</v>
      </c>
      <c r="D117" t="s">
        <v>61</v>
      </c>
      <c r="E117" t="str">
        <f t="shared" si="6"/>
        <v>MKT04</v>
      </c>
      <c r="F117" t="str">
        <f>_xlfn.XLOOKUP(E117,Lookup_Departments!A:A,Lookup_Departments!B:B)</f>
        <v>Marketing</v>
      </c>
      <c r="G117" s="15">
        <v>42865</v>
      </c>
      <c r="H117" s="5">
        <v>48748</v>
      </c>
      <c r="I117">
        <v>83</v>
      </c>
      <c r="J117" t="str">
        <f>_xlfn.XLOOKUP(I117,Lookup_Performance!A:A, Lookup_Performance!C:C,  , -1)</f>
        <v>Achieving</v>
      </c>
      <c r="K117" t="s">
        <v>45</v>
      </c>
      <c r="L117" t="str">
        <f t="shared" si="7"/>
        <v>ACTIVE</v>
      </c>
      <c r="M117">
        <f t="shared" ca="1" si="8"/>
        <v>9</v>
      </c>
      <c r="N117" s="10">
        <f>_xlfn.XLOOKUP(J:J,Lookup_Performance!C:C,Lookup_Performance!D:D, "Not Found")</f>
        <v>0.05</v>
      </c>
      <c r="O117" s="3">
        <f t="shared" si="9"/>
        <v>2437.4</v>
      </c>
      <c r="P117" t="str">
        <f t="shared" si="10"/>
        <v>NO</v>
      </c>
    </row>
    <row r="118" spans="1:16" x14ac:dyDescent="0.25">
      <c r="A118" t="s">
        <v>234</v>
      </c>
      <c r="B118" t="s">
        <v>28</v>
      </c>
      <c r="C118" t="s">
        <v>41</v>
      </c>
      <c r="D118" t="s">
        <v>33</v>
      </c>
      <c r="E118" t="str">
        <f t="shared" si="6"/>
        <v>OPS06</v>
      </c>
      <c r="F118" t="str">
        <f>_xlfn.XLOOKUP(E118,Lookup_Departments!A:A,Lookup_Departments!B:B)</f>
        <v>Operations</v>
      </c>
      <c r="G118" s="15">
        <v>43971</v>
      </c>
      <c r="H118" s="5">
        <v>101997</v>
      </c>
      <c r="I118">
        <v>38</v>
      </c>
      <c r="J118" t="str">
        <f>_xlfn.XLOOKUP(I118,Lookup_Performance!A:A, Lookup_Performance!C:C,  , -1)</f>
        <v>Needs Improvement</v>
      </c>
      <c r="K118" t="s">
        <v>116</v>
      </c>
      <c r="L118" t="str">
        <f t="shared" si="7"/>
        <v>RESIGNED</v>
      </c>
      <c r="M118">
        <f t="shared" ca="1" si="8"/>
        <v>6</v>
      </c>
      <c r="N118" s="10">
        <f>_xlfn.XLOOKUP(J:J,Lookup_Performance!C:C,Lookup_Performance!D:D, "Not Found")</f>
        <v>0</v>
      </c>
      <c r="O118" s="3">
        <f t="shared" si="9"/>
        <v>0</v>
      </c>
      <c r="P118" t="str">
        <f t="shared" si="10"/>
        <v>YES</v>
      </c>
    </row>
    <row r="119" spans="1:16" x14ac:dyDescent="0.25">
      <c r="A119" t="s">
        <v>235</v>
      </c>
      <c r="B119" t="s">
        <v>113</v>
      </c>
      <c r="C119" t="s">
        <v>41</v>
      </c>
      <c r="D119" t="s">
        <v>97</v>
      </c>
      <c r="E119" t="str">
        <f t="shared" si="6"/>
        <v>HR01</v>
      </c>
      <c r="F119" t="str">
        <f>_xlfn.XLOOKUP(E119,Lookup_Departments!A:A,Lookup_Departments!B:B)</f>
        <v>Human Resources</v>
      </c>
      <c r="G119" s="15">
        <v>45036</v>
      </c>
      <c r="H119" s="5">
        <v>115260</v>
      </c>
      <c r="I119">
        <v>77</v>
      </c>
      <c r="J119" t="str">
        <f>_xlfn.XLOOKUP(I119,Lookup_Performance!A:A, Lookup_Performance!C:C,  , -1)</f>
        <v>Achieving</v>
      </c>
      <c r="K119" t="s">
        <v>45</v>
      </c>
      <c r="L119" t="str">
        <f t="shared" si="7"/>
        <v>ACTIVE</v>
      </c>
      <c r="M119">
        <f t="shared" ca="1" si="8"/>
        <v>3</v>
      </c>
      <c r="N119" s="10">
        <f>_xlfn.XLOOKUP(J:J,Lookup_Performance!C:C,Lookup_Performance!D:D, "Not Found")</f>
        <v>0.05</v>
      </c>
      <c r="O119" s="3">
        <f t="shared" si="9"/>
        <v>5763</v>
      </c>
      <c r="P119" t="str">
        <f t="shared" si="10"/>
        <v>NO</v>
      </c>
    </row>
    <row r="120" spans="1:16" x14ac:dyDescent="0.25">
      <c r="A120" t="s">
        <v>237</v>
      </c>
      <c r="B120" t="s">
        <v>53</v>
      </c>
      <c r="C120" t="s">
        <v>36</v>
      </c>
      <c r="D120" t="s">
        <v>44</v>
      </c>
      <c r="E120" t="str">
        <f t="shared" si="6"/>
        <v>SAL05</v>
      </c>
      <c r="F120" t="str">
        <f>_xlfn.XLOOKUP(E120,Lookup_Departments!A:A,Lookup_Departments!B:B)</f>
        <v>Sales</v>
      </c>
      <c r="G120" s="15">
        <v>44500</v>
      </c>
      <c r="H120" s="5">
        <v>83603.929999999993</v>
      </c>
      <c r="I120">
        <v>49</v>
      </c>
      <c r="J120" t="str">
        <f>_xlfn.XLOOKUP(I120,Lookup_Performance!A:A, Lookup_Performance!C:C,  , -1)</f>
        <v>Needs Improvement</v>
      </c>
      <c r="K120" t="s">
        <v>12</v>
      </c>
      <c r="L120" t="str">
        <f t="shared" si="7"/>
        <v>ACTIVE</v>
      </c>
      <c r="M120">
        <f t="shared" ca="1" si="8"/>
        <v>4</v>
      </c>
      <c r="N120" s="10">
        <f>_xlfn.XLOOKUP(J:J,Lookup_Performance!C:C,Lookup_Performance!D:D, "Not Found")</f>
        <v>0</v>
      </c>
      <c r="O120" s="3">
        <f t="shared" si="9"/>
        <v>0</v>
      </c>
      <c r="P120" t="str">
        <f t="shared" si="10"/>
        <v>NO</v>
      </c>
    </row>
    <row r="121" spans="1:16" x14ac:dyDescent="0.25">
      <c r="A121" t="s">
        <v>238</v>
      </c>
      <c r="B121" t="s">
        <v>66</v>
      </c>
      <c r="C121" t="s">
        <v>10</v>
      </c>
      <c r="D121" t="s">
        <v>20</v>
      </c>
      <c r="E121" t="str">
        <f t="shared" si="6"/>
        <v>IT02</v>
      </c>
      <c r="F121" t="str">
        <f>_xlfn.XLOOKUP(E121,Lookup_Departments!A:A,Lookup_Departments!B:B)</f>
        <v>Information Technology</v>
      </c>
      <c r="G121" s="15">
        <v>44493</v>
      </c>
      <c r="H121" s="5">
        <v>83603.929999999993</v>
      </c>
      <c r="I121">
        <v>69</v>
      </c>
      <c r="J121" t="str">
        <f>_xlfn.XLOOKUP(I121,Lookup_Performance!A:A, Lookup_Performance!C:C,  , -1)</f>
        <v>Developing</v>
      </c>
      <c r="K121" t="s">
        <v>108</v>
      </c>
      <c r="L121" t="str">
        <f t="shared" si="7"/>
        <v>LEFT</v>
      </c>
      <c r="M121">
        <f t="shared" ca="1" si="8"/>
        <v>4</v>
      </c>
      <c r="N121" s="10">
        <f>_xlfn.XLOOKUP(J:J,Lookup_Performance!C:C,Lookup_Performance!D:D, "Not Found")</f>
        <v>0.02</v>
      </c>
      <c r="O121" s="3">
        <f t="shared" si="9"/>
        <v>1672.0785999999998</v>
      </c>
      <c r="P121" t="str">
        <f t="shared" si="10"/>
        <v>YES</v>
      </c>
    </row>
    <row r="122" spans="1:16" x14ac:dyDescent="0.25">
      <c r="A122" t="s">
        <v>240</v>
      </c>
      <c r="B122" t="s">
        <v>94</v>
      </c>
      <c r="C122" t="s">
        <v>54</v>
      </c>
      <c r="D122" t="s">
        <v>44</v>
      </c>
      <c r="E122" t="str">
        <f t="shared" si="6"/>
        <v>SAL05</v>
      </c>
      <c r="F122" t="str">
        <f>_xlfn.XLOOKUP(E122,Lookup_Departments!A:A,Lookup_Departments!B:B)</f>
        <v>Sales</v>
      </c>
      <c r="G122" s="15">
        <v>42956</v>
      </c>
      <c r="H122" s="5">
        <v>83603.929999999993</v>
      </c>
      <c r="I122">
        <v>76</v>
      </c>
      <c r="J122" t="str">
        <f>_xlfn.XLOOKUP(I122,Lookup_Performance!A:A, Lookup_Performance!C:C,  , -1)</f>
        <v>Achieving</v>
      </c>
      <c r="K122" t="s">
        <v>12</v>
      </c>
      <c r="L122" t="str">
        <f t="shared" si="7"/>
        <v>ACTIVE</v>
      </c>
      <c r="M122">
        <f t="shared" ca="1" si="8"/>
        <v>8</v>
      </c>
      <c r="N122" s="10">
        <f>_xlfn.XLOOKUP(J:J,Lookup_Performance!C:C,Lookup_Performance!D:D, "Not Found")</f>
        <v>0.05</v>
      </c>
      <c r="O122" s="3">
        <f t="shared" si="9"/>
        <v>4180.1965</v>
      </c>
      <c r="P122" t="str">
        <f t="shared" si="10"/>
        <v>NO</v>
      </c>
    </row>
    <row r="123" spans="1:16" x14ac:dyDescent="0.25">
      <c r="A123" t="s">
        <v>241</v>
      </c>
      <c r="B123" t="s">
        <v>94</v>
      </c>
      <c r="C123" t="s">
        <v>41</v>
      </c>
      <c r="D123" t="s">
        <v>165</v>
      </c>
      <c r="E123" t="str">
        <f t="shared" si="6"/>
        <v>OPS06</v>
      </c>
      <c r="F123" t="str">
        <f>_xlfn.XLOOKUP(E123,Lookup_Departments!A:A,Lookup_Departments!B:B)</f>
        <v>Operations</v>
      </c>
      <c r="G123" s="15">
        <v>44930</v>
      </c>
      <c r="H123" s="5">
        <v>60623</v>
      </c>
      <c r="I123">
        <v>78</v>
      </c>
      <c r="J123" t="str">
        <f>_xlfn.XLOOKUP(I123,Lookup_Performance!A:A, Lookup_Performance!C:C,  , -1)</f>
        <v>Achieving</v>
      </c>
      <c r="K123" t="s">
        <v>45</v>
      </c>
      <c r="L123" t="str">
        <f t="shared" si="7"/>
        <v>ACTIVE</v>
      </c>
      <c r="M123">
        <f t="shared" ca="1" si="8"/>
        <v>3</v>
      </c>
      <c r="N123" s="10">
        <f>_xlfn.XLOOKUP(J:J,Lookup_Performance!C:C,Lookup_Performance!D:D, "Not Found")</f>
        <v>0.05</v>
      </c>
      <c r="O123" s="3">
        <f t="shared" si="9"/>
        <v>3031.15</v>
      </c>
      <c r="P123" t="str">
        <f t="shared" si="10"/>
        <v>NO</v>
      </c>
    </row>
    <row r="124" spans="1:16" x14ac:dyDescent="0.25">
      <c r="A124" t="s">
        <v>242</v>
      </c>
      <c r="B124" t="s">
        <v>105</v>
      </c>
      <c r="C124" t="s">
        <v>32</v>
      </c>
      <c r="D124" t="s">
        <v>157</v>
      </c>
      <c r="E124" t="str">
        <f t="shared" si="6"/>
        <v>HR01</v>
      </c>
      <c r="F124" t="str">
        <f>_xlfn.XLOOKUP(E124,Lookup_Departments!A:A,Lookup_Departments!B:B)</f>
        <v>Human Resources</v>
      </c>
      <c r="G124" s="15">
        <v>44053</v>
      </c>
      <c r="H124" s="5">
        <v>68092</v>
      </c>
      <c r="I124">
        <v>93</v>
      </c>
      <c r="J124" t="str">
        <f>_xlfn.XLOOKUP(I124,Lookup_Performance!A:A, Lookup_Performance!C:C,  , -1)</f>
        <v>Exceeding</v>
      </c>
      <c r="K124" t="s">
        <v>12</v>
      </c>
      <c r="L124" t="str">
        <f t="shared" si="7"/>
        <v>ACTIVE</v>
      </c>
      <c r="M124">
        <f t="shared" ca="1" si="8"/>
        <v>5</v>
      </c>
      <c r="N124" s="10">
        <f>_xlfn.XLOOKUP(J:J,Lookup_Performance!C:C,Lookup_Performance!D:D, "Not Found")</f>
        <v>0.08</v>
      </c>
      <c r="O124" s="3">
        <f t="shared" si="9"/>
        <v>5447.36</v>
      </c>
      <c r="P124" t="str">
        <f t="shared" si="10"/>
        <v>NO</v>
      </c>
    </row>
    <row r="125" spans="1:16" x14ac:dyDescent="0.25">
      <c r="A125" t="s">
        <v>245</v>
      </c>
      <c r="B125" t="s">
        <v>59</v>
      </c>
      <c r="C125" t="s">
        <v>36</v>
      </c>
      <c r="D125" t="s">
        <v>16</v>
      </c>
      <c r="E125" t="str">
        <f t="shared" si="6"/>
        <v>MKT04</v>
      </c>
      <c r="F125" t="str">
        <f>_xlfn.XLOOKUP(E125,Lookup_Departments!A:A,Lookup_Departments!B:B)</f>
        <v>Marketing</v>
      </c>
      <c r="G125" s="15">
        <v>44653</v>
      </c>
      <c r="H125" s="5">
        <v>88155</v>
      </c>
      <c r="I125">
        <v>68</v>
      </c>
      <c r="J125" t="str">
        <f>_xlfn.XLOOKUP(I125,Lookup_Performance!A:A, Lookup_Performance!C:C,  , -1)</f>
        <v>Developing</v>
      </c>
      <c r="K125" t="s">
        <v>45</v>
      </c>
      <c r="L125" t="str">
        <f t="shared" si="7"/>
        <v>ACTIVE</v>
      </c>
      <c r="M125">
        <f t="shared" ca="1" si="8"/>
        <v>4</v>
      </c>
      <c r="N125" s="10">
        <f>_xlfn.XLOOKUP(J:J,Lookup_Performance!C:C,Lookup_Performance!D:D, "Not Found")</f>
        <v>0.02</v>
      </c>
      <c r="O125" s="3">
        <f t="shared" si="9"/>
        <v>1763.1000000000001</v>
      </c>
      <c r="P125" t="str">
        <f t="shared" si="10"/>
        <v>NO</v>
      </c>
    </row>
    <row r="126" spans="1:16" x14ac:dyDescent="0.25">
      <c r="A126" t="s">
        <v>246</v>
      </c>
      <c r="B126" t="s">
        <v>105</v>
      </c>
      <c r="C126" t="s">
        <v>60</v>
      </c>
      <c r="D126" t="s">
        <v>16</v>
      </c>
      <c r="E126" t="str">
        <f t="shared" si="6"/>
        <v>MKT04</v>
      </c>
      <c r="F126" t="str">
        <f>_xlfn.XLOOKUP(E126,Lookup_Departments!A:A,Lookup_Departments!B:B)</f>
        <v>Marketing</v>
      </c>
      <c r="G126" s="15">
        <v>43183</v>
      </c>
      <c r="H126" s="5">
        <v>107903</v>
      </c>
      <c r="I126">
        <v>42</v>
      </c>
      <c r="J126" t="str">
        <f>_xlfn.XLOOKUP(I126,Lookup_Performance!A:A, Lookup_Performance!C:C,  , -1)</f>
        <v>Needs Improvement</v>
      </c>
      <c r="K126" t="s">
        <v>17</v>
      </c>
      <c r="L126" t="str">
        <f t="shared" si="7"/>
        <v>ACTIVE</v>
      </c>
      <c r="M126">
        <f t="shared" ca="1" si="8"/>
        <v>8</v>
      </c>
      <c r="N126" s="10">
        <f>_xlfn.XLOOKUP(J:J,Lookup_Performance!C:C,Lookup_Performance!D:D, "Not Found")</f>
        <v>0</v>
      </c>
      <c r="O126" s="3">
        <f t="shared" si="9"/>
        <v>0</v>
      </c>
      <c r="P126" t="str">
        <f t="shared" si="10"/>
        <v>NO</v>
      </c>
    </row>
    <row r="127" spans="1:16" x14ac:dyDescent="0.25">
      <c r="A127" t="s">
        <v>248</v>
      </c>
      <c r="B127" t="s">
        <v>66</v>
      </c>
      <c r="C127" t="s">
        <v>54</v>
      </c>
      <c r="D127" t="s">
        <v>11</v>
      </c>
      <c r="E127" t="str">
        <f t="shared" si="6"/>
        <v>IT02</v>
      </c>
      <c r="F127" t="str">
        <f>_xlfn.XLOOKUP(E127,Lookup_Departments!A:A,Lookup_Departments!B:B)</f>
        <v>Information Technology</v>
      </c>
      <c r="G127" s="15">
        <v>43305</v>
      </c>
      <c r="H127" s="5">
        <v>62818</v>
      </c>
      <c r="I127">
        <v>34</v>
      </c>
      <c r="J127" t="str">
        <f>_xlfn.XLOOKUP(I127,Lookup_Performance!A:A, Lookup_Performance!C:C,  , -1)</f>
        <v>Needs Improvement</v>
      </c>
      <c r="K127" t="s">
        <v>17</v>
      </c>
      <c r="L127" t="str">
        <f t="shared" si="7"/>
        <v>ACTIVE</v>
      </c>
      <c r="M127">
        <f t="shared" ca="1" si="8"/>
        <v>7</v>
      </c>
      <c r="N127" s="10">
        <f>_xlfn.XLOOKUP(J:J,Lookup_Performance!C:C,Lookup_Performance!D:D, "Not Found")</f>
        <v>0</v>
      </c>
      <c r="O127" s="3">
        <f t="shared" si="9"/>
        <v>0</v>
      </c>
      <c r="P127" t="str">
        <f t="shared" si="10"/>
        <v>NO</v>
      </c>
    </row>
    <row r="128" spans="1:16" x14ac:dyDescent="0.25">
      <c r="A128" t="s">
        <v>249</v>
      </c>
      <c r="B128" t="s">
        <v>43</v>
      </c>
      <c r="C128" t="s">
        <v>54</v>
      </c>
      <c r="D128" t="s">
        <v>157</v>
      </c>
      <c r="E128" t="str">
        <f t="shared" si="6"/>
        <v>HR01</v>
      </c>
      <c r="F128" t="str">
        <f>_xlfn.XLOOKUP(E128,Lookup_Departments!A:A,Lookup_Departments!B:B)</f>
        <v>Human Resources</v>
      </c>
      <c r="G128" s="15">
        <v>43301</v>
      </c>
      <c r="H128" s="5">
        <v>85151</v>
      </c>
      <c r="I128">
        <v>35</v>
      </c>
      <c r="J128" t="str">
        <f>_xlfn.XLOOKUP(I128,Lookup_Performance!A:A, Lookup_Performance!C:C,  , -1)</f>
        <v>Needs Improvement</v>
      </c>
      <c r="K128" t="s">
        <v>17</v>
      </c>
      <c r="L128" t="str">
        <f t="shared" si="7"/>
        <v>ACTIVE</v>
      </c>
      <c r="M128">
        <f t="shared" ca="1" si="8"/>
        <v>7</v>
      </c>
      <c r="N128" s="10">
        <f>_xlfn.XLOOKUP(J:J,Lookup_Performance!C:C,Lookup_Performance!D:D, "Not Found")</f>
        <v>0</v>
      </c>
      <c r="O128" s="3">
        <f t="shared" si="9"/>
        <v>0</v>
      </c>
      <c r="P128" t="str">
        <f t="shared" si="10"/>
        <v>NO</v>
      </c>
    </row>
    <row r="129" spans="1:16" x14ac:dyDescent="0.25">
      <c r="A129" t="s">
        <v>250</v>
      </c>
      <c r="B129" t="s">
        <v>160</v>
      </c>
      <c r="C129" t="s">
        <v>64</v>
      </c>
      <c r="D129" t="s">
        <v>76</v>
      </c>
      <c r="E129" t="str">
        <f t="shared" si="6"/>
        <v>FIN03</v>
      </c>
      <c r="F129" t="str">
        <f>_xlfn.XLOOKUP(E129,Lookup_Departments!A:A,Lookup_Departments!B:B)</f>
        <v>Finance</v>
      </c>
      <c r="G129" s="15">
        <v>42433</v>
      </c>
      <c r="H129" s="5">
        <v>46390</v>
      </c>
      <c r="I129">
        <v>95</v>
      </c>
      <c r="J129" t="str">
        <f>_xlfn.XLOOKUP(I129,Lookup_Performance!A:A, Lookup_Performance!C:C,  , -1)</f>
        <v>Outstanding</v>
      </c>
      <c r="K129" t="s">
        <v>45</v>
      </c>
      <c r="L129" t="str">
        <f t="shared" si="7"/>
        <v>ACTIVE</v>
      </c>
      <c r="M129">
        <f t="shared" ca="1" si="8"/>
        <v>10</v>
      </c>
      <c r="N129" s="10">
        <f>_xlfn.XLOOKUP(J:J,Lookup_Performance!C:C,Lookup_Performance!D:D, "Not Found")</f>
        <v>0.12</v>
      </c>
      <c r="O129" s="3">
        <f t="shared" si="9"/>
        <v>5566.8</v>
      </c>
      <c r="P129" t="str">
        <f t="shared" si="10"/>
        <v>NO</v>
      </c>
    </row>
    <row r="130" spans="1:16" x14ac:dyDescent="0.25">
      <c r="A130" t="s">
        <v>252</v>
      </c>
      <c r="B130" t="s">
        <v>160</v>
      </c>
      <c r="C130" t="s">
        <v>25</v>
      </c>
      <c r="D130" t="s">
        <v>157</v>
      </c>
      <c r="E130" t="str">
        <f t="shared" si="6"/>
        <v>HR01</v>
      </c>
      <c r="F130" t="str">
        <f>_xlfn.XLOOKUP(E130,Lookup_Departments!A:A,Lookup_Departments!B:B)</f>
        <v>Human Resources</v>
      </c>
      <c r="G130" s="15">
        <v>44643</v>
      </c>
      <c r="H130" s="5">
        <v>111920</v>
      </c>
      <c r="I130">
        <v>90</v>
      </c>
      <c r="J130" t="str">
        <f>_xlfn.XLOOKUP(I130,Lookup_Performance!A:A, Lookup_Performance!C:C,  , -1)</f>
        <v>Exceeding</v>
      </c>
      <c r="K130" t="s">
        <v>22</v>
      </c>
      <c r="L130" t="str">
        <f t="shared" si="7"/>
        <v>LEFT</v>
      </c>
      <c r="M130">
        <f t="shared" ca="1" si="8"/>
        <v>4</v>
      </c>
      <c r="N130" s="10">
        <f>_xlfn.XLOOKUP(J:J,Lookup_Performance!C:C,Lookup_Performance!D:D, "Not Found")</f>
        <v>0.08</v>
      </c>
      <c r="O130" s="3">
        <f t="shared" si="9"/>
        <v>8953.6</v>
      </c>
      <c r="P130" t="str">
        <f t="shared" si="10"/>
        <v>YES</v>
      </c>
    </row>
    <row r="131" spans="1:16" x14ac:dyDescent="0.25">
      <c r="A131" t="s">
        <v>253</v>
      </c>
      <c r="B131" t="s">
        <v>113</v>
      </c>
      <c r="C131" t="s">
        <v>135</v>
      </c>
      <c r="D131" t="s">
        <v>138</v>
      </c>
      <c r="E131" t="str">
        <f t="shared" ref="E131:E151" si="11">UPPER(TRIM(D131))</f>
        <v>HR01</v>
      </c>
      <c r="F131" t="str">
        <f>_xlfn.XLOOKUP(E131,Lookup_Departments!A:A,Lookup_Departments!B:B)</f>
        <v>Human Resources</v>
      </c>
      <c r="G131" s="15">
        <v>42944</v>
      </c>
      <c r="H131" s="5">
        <v>115618</v>
      </c>
      <c r="I131">
        <v>42</v>
      </c>
      <c r="J131" t="str">
        <f>_xlfn.XLOOKUP(I131,Lookup_Performance!A:A, Lookup_Performance!C:C,  , -1)</f>
        <v>Needs Improvement</v>
      </c>
      <c r="K131" t="s">
        <v>17</v>
      </c>
      <c r="L131" t="str">
        <f t="shared" ref="L131:L151" si="12">UPPER(TRIM(K131))</f>
        <v>ACTIVE</v>
      </c>
      <c r="M131">
        <f t="shared" ref="M131:M151" ca="1" si="13">DATEDIF(G131, TODAY(), "Y")</f>
        <v>8</v>
      </c>
      <c r="N131" s="10">
        <f>_xlfn.XLOOKUP(J:J,Lookup_Performance!C:C,Lookup_Performance!D:D, "Not Found")</f>
        <v>0</v>
      </c>
      <c r="O131" s="3">
        <f t="shared" ref="O131:O151" si="14">N131*H131</f>
        <v>0</v>
      </c>
      <c r="P131" t="str">
        <f t="shared" ref="P131:P151" si="15">IF(OR(ISNUMBER(SEARCH("LEFT",L131)), ISNUMBER(SEARCH("RESIGN", L131))), "YES",   "NO")</f>
        <v>NO</v>
      </c>
    </row>
    <row r="132" spans="1:16" x14ac:dyDescent="0.25">
      <c r="A132" t="s">
        <v>256</v>
      </c>
      <c r="B132" t="s">
        <v>53</v>
      </c>
      <c r="C132" t="s">
        <v>29</v>
      </c>
      <c r="D132" t="s">
        <v>44</v>
      </c>
      <c r="E132" t="str">
        <f t="shared" si="11"/>
        <v>SAL05</v>
      </c>
      <c r="F132" t="str">
        <f>_xlfn.XLOOKUP(E132,Lookup_Departments!A:A,Lookup_Departments!B:B)</f>
        <v>Sales</v>
      </c>
      <c r="G132" s="15">
        <v>45057</v>
      </c>
      <c r="H132" s="5">
        <v>110618</v>
      </c>
      <c r="I132">
        <v>88</v>
      </c>
      <c r="J132" t="str">
        <f>_xlfn.XLOOKUP(I132,Lookup_Performance!A:A, Lookup_Performance!C:C,  , -1)</f>
        <v>Exceeding</v>
      </c>
      <c r="K132" t="s">
        <v>116</v>
      </c>
      <c r="L132" t="str">
        <f t="shared" si="12"/>
        <v>RESIGNED</v>
      </c>
      <c r="M132">
        <f t="shared" ca="1" si="13"/>
        <v>3</v>
      </c>
      <c r="N132" s="10">
        <f>_xlfn.XLOOKUP(J:J,Lookup_Performance!C:C,Lookup_Performance!D:D, "Not Found")</f>
        <v>0.08</v>
      </c>
      <c r="O132" s="3">
        <f t="shared" si="14"/>
        <v>8849.44</v>
      </c>
      <c r="P132" t="str">
        <f t="shared" si="15"/>
        <v>YES</v>
      </c>
    </row>
    <row r="133" spans="1:16" x14ac:dyDescent="0.25">
      <c r="A133" t="s">
        <v>259</v>
      </c>
      <c r="B133" t="s">
        <v>39</v>
      </c>
      <c r="C133" t="s">
        <v>15</v>
      </c>
      <c r="D133" t="s">
        <v>37</v>
      </c>
      <c r="E133" t="str">
        <f t="shared" si="11"/>
        <v>OPS06</v>
      </c>
      <c r="F133" t="str">
        <f>_xlfn.XLOOKUP(E133,Lookup_Departments!A:A,Lookup_Departments!B:B)</f>
        <v>Operations</v>
      </c>
      <c r="G133" s="15">
        <v>44639</v>
      </c>
      <c r="H133" s="5">
        <v>108395</v>
      </c>
      <c r="I133">
        <v>78</v>
      </c>
      <c r="J133" t="str">
        <f>_xlfn.XLOOKUP(I133,Lookup_Performance!A:A, Lookup_Performance!C:C,  , -1)</f>
        <v>Achieving</v>
      </c>
      <c r="K133" t="s">
        <v>30</v>
      </c>
      <c r="L133" t="str">
        <f t="shared" si="12"/>
        <v>LEFT</v>
      </c>
      <c r="M133">
        <f t="shared" ca="1" si="13"/>
        <v>4</v>
      </c>
      <c r="N133" s="10">
        <f>_xlfn.XLOOKUP(J:J,Lookup_Performance!C:C,Lookup_Performance!D:D, "Not Found")</f>
        <v>0.05</v>
      </c>
      <c r="O133" s="3">
        <f t="shared" si="14"/>
        <v>5419.75</v>
      </c>
      <c r="P133" t="str">
        <f t="shared" si="15"/>
        <v>YES</v>
      </c>
    </row>
    <row r="134" spans="1:16" x14ac:dyDescent="0.25">
      <c r="A134" t="s">
        <v>261</v>
      </c>
      <c r="B134" t="s">
        <v>24</v>
      </c>
      <c r="C134" t="s">
        <v>32</v>
      </c>
      <c r="D134" t="s">
        <v>26</v>
      </c>
      <c r="E134" t="str">
        <f t="shared" si="11"/>
        <v>FIN03</v>
      </c>
      <c r="F134" t="str">
        <f>_xlfn.XLOOKUP(E134,Lookup_Departments!A:A,Lookup_Departments!B:B)</f>
        <v>Finance</v>
      </c>
      <c r="G134" s="15">
        <v>43091</v>
      </c>
      <c r="H134" s="5">
        <v>88005</v>
      </c>
      <c r="I134">
        <v>69</v>
      </c>
      <c r="J134" t="str">
        <f>_xlfn.XLOOKUP(I134,Lookup_Performance!A:A, Lookup_Performance!C:C,  , -1)</f>
        <v>Developing</v>
      </c>
      <c r="K134" t="s">
        <v>45</v>
      </c>
      <c r="L134" t="str">
        <f t="shared" si="12"/>
        <v>ACTIVE</v>
      </c>
      <c r="M134">
        <f t="shared" ca="1" si="13"/>
        <v>8</v>
      </c>
      <c r="N134" s="10">
        <f>_xlfn.XLOOKUP(J:J,Lookup_Performance!C:C,Lookup_Performance!D:D, "Not Found")</f>
        <v>0.02</v>
      </c>
      <c r="O134" s="3">
        <f t="shared" si="14"/>
        <v>1760.1000000000001</v>
      </c>
      <c r="P134" t="str">
        <f t="shared" si="15"/>
        <v>NO</v>
      </c>
    </row>
    <row r="135" spans="1:16" x14ac:dyDescent="0.25">
      <c r="A135" t="s">
        <v>262</v>
      </c>
      <c r="B135" t="s">
        <v>113</v>
      </c>
      <c r="C135" t="s">
        <v>133</v>
      </c>
      <c r="D135" t="s">
        <v>61</v>
      </c>
      <c r="E135" t="str">
        <f t="shared" si="11"/>
        <v>MKT04</v>
      </c>
      <c r="F135" t="str">
        <f>_xlfn.XLOOKUP(E135,Lookup_Departments!A:A,Lookup_Departments!B:B)</f>
        <v>Marketing</v>
      </c>
      <c r="G135" s="15">
        <v>44437</v>
      </c>
      <c r="H135" s="5">
        <v>83007</v>
      </c>
      <c r="I135">
        <v>82</v>
      </c>
      <c r="J135" t="str">
        <f>_xlfn.XLOOKUP(I135,Lookup_Performance!A:A, Lookup_Performance!C:C,  , -1)</f>
        <v>Achieving</v>
      </c>
      <c r="K135" t="s">
        <v>45</v>
      </c>
      <c r="L135" t="str">
        <f t="shared" si="12"/>
        <v>ACTIVE</v>
      </c>
      <c r="M135">
        <f t="shared" ca="1" si="13"/>
        <v>4</v>
      </c>
      <c r="N135" s="10">
        <f>_xlfn.XLOOKUP(J:J,Lookup_Performance!C:C,Lookup_Performance!D:D, "Not Found")</f>
        <v>0.05</v>
      </c>
      <c r="O135" s="3">
        <f t="shared" si="14"/>
        <v>4150.3500000000004</v>
      </c>
      <c r="P135" t="str">
        <f t="shared" si="15"/>
        <v>NO</v>
      </c>
    </row>
    <row r="136" spans="1:16" x14ac:dyDescent="0.25">
      <c r="A136" t="s">
        <v>264</v>
      </c>
      <c r="B136" t="s">
        <v>94</v>
      </c>
      <c r="C136" t="s">
        <v>64</v>
      </c>
      <c r="D136" t="s">
        <v>11</v>
      </c>
      <c r="E136" t="str">
        <f t="shared" si="11"/>
        <v>IT02</v>
      </c>
      <c r="F136" t="str">
        <f>_xlfn.XLOOKUP(E136,Lookup_Departments!A:A,Lookup_Departments!B:B)</f>
        <v>Information Technology</v>
      </c>
      <c r="G136" s="15">
        <v>43360</v>
      </c>
      <c r="H136" s="5">
        <v>61547</v>
      </c>
      <c r="I136">
        <v>68</v>
      </c>
      <c r="J136" t="str">
        <f>_xlfn.XLOOKUP(I136,Lookup_Performance!A:A, Lookup_Performance!C:C,  , -1)</f>
        <v>Developing</v>
      </c>
      <c r="K136" t="s">
        <v>17</v>
      </c>
      <c r="L136" t="str">
        <f t="shared" si="12"/>
        <v>ACTIVE</v>
      </c>
      <c r="M136">
        <f t="shared" ca="1" si="13"/>
        <v>7</v>
      </c>
      <c r="N136" s="10">
        <f>_xlfn.XLOOKUP(J:J,Lookup_Performance!C:C,Lookup_Performance!D:D, "Not Found")</f>
        <v>0.02</v>
      </c>
      <c r="O136" s="3">
        <f t="shared" si="14"/>
        <v>1230.94</v>
      </c>
      <c r="P136" t="str">
        <f t="shared" si="15"/>
        <v>NO</v>
      </c>
    </row>
    <row r="137" spans="1:16" x14ac:dyDescent="0.25">
      <c r="A137" t="s">
        <v>266</v>
      </c>
      <c r="B137" t="s">
        <v>105</v>
      </c>
      <c r="C137" t="s">
        <v>36</v>
      </c>
      <c r="D137" t="s">
        <v>48</v>
      </c>
      <c r="E137" t="str">
        <f t="shared" si="11"/>
        <v>SAL05</v>
      </c>
      <c r="F137" t="str">
        <f>_xlfn.XLOOKUP(E137,Lookup_Departments!A:A,Lookup_Departments!B:B)</f>
        <v>Sales</v>
      </c>
      <c r="G137" s="15">
        <v>44375</v>
      </c>
      <c r="H137" s="5">
        <v>83603.929999999993</v>
      </c>
      <c r="I137">
        <v>52</v>
      </c>
      <c r="J137" t="str">
        <f>_xlfn.XLOOKUP(I137,Lookup_Performance!A:A, Lookup_Performance!C:C,  , -1)</f>
        <v>Developing</v>
      </c>
      <c r="K137" t="s">
        <v>45</v>
      </c>
      <c r="L137" t="str">
        <f t="shared" si="12"/>
        <v>ACTIVE</v>
      </c>
      <c r="M137">
        <f t="shared" ca="1" si="13"/>
        <v>5</v>
      </c>
      <c r="N137" s="10">
        <f>_xlfn.XLOOKUP(J:J,Lookup_Performance!C:C,Lookup_Performance!D:D, "Not Found")</f>
        <v>0.02</v>
      </c>
      <c r="O137" s="3">
        <f t="shared" si="14"/>
        <v>1672.0785999999998</v>
      </c>
      <c r="P137" t="str">
        <f t="shared" si="15"/>
        <v>NO</v>
      </c>
    </row>
    <row r="138" spans="1:16" x14ac:dyDescent="0.25">
      <c r="A138" t="s">
        <v>267</v>
      </c>
      <c r="B138" t="s">
        <v>105</v>
      </c>
      <c r="C138" t="s">
        <v>32</v>
      </c>
      <c r="D138" t="s">
        <v>33</v>
      </c>
      <c r="E138" t="str">
        <f t="shared" si="11"/>
        <v>OPS06</v>
      </c>
      <c r="F138" t="str">
        <f>_xlfn.XLOOKUP(E138,Lookup_Departments!A:A,Lookup_Departments!B:B)</f>
        <v>Operations</v>
      </c>
      <c r="G138" s="15">
        <v>43011</v>
      </c>
      <c r="H138" s="5">
        <v>50399</v>
      </c>
      <c r="I138">
        <v>92</v>
      </c>
      <c r="J138" t="str">
        <f>_xlfn.XLOOKUP(I138,Lookup_Performance!A:A, Lookup_Performance!C:C,  , -1)</f>
        <v>Exceeding</v>
      </c>
      <c r="K138" t="s">
        <v>108</v>
      </c>
      <c r="L138" t="str">
        <f t="shared" si="12"/>
        <v>LEFT</v>
      </c>
      <c r="M138">
        <f t="shared" ca="1" si="13"/>
        <v>8</v>
      </c>
      <c r="N138" s="10">
        <f>_xlfn.XLOOKUP(J:J,Lookup_Performance!C:C,Lookup_Performance!D:D, "Not Found")</f>
        <v>0.08</v>
      </c>
      <c r="O138" s="3">
        <f t="shared" si="14"/>
        <v>4031.92</v>
      </c>
      <c r="P138" t="str">
        <f t="shared" si="15"/>
        <v>YES</v>
      </c>
    </row>
    <row r="139" spans="1:16" x14ac:dyDescent="0.25">
      <c r="A139" t="s">
        <v>269</v>
      </c>
      <c r="B139" t="s">
        <v>43</v>
      </c>
      <c r="C139" t="s">
        <v>54</v>
      </c>
      <c r="D139" t="s">
        <v>26</v>
      </c>
      <c r="E139" t="str">
        <f t="shared" si="11"/>
        <v>FIN03</v>
      </c>
      <c r="F139" t="str">
        <f>_xlfn.XLOOKUP(E139,Lookup_Departments!A:A,Lookup_Departments!B:B)</f>
        <v>Finance</v>
      </c>
      <c r="G139" s="15">
        <v>42299</v>
      </c>
      <c r="H139" s="5">
        <v>83603.929999999993</v>
      </c>
      <c r="I139">
        <v>62</v>
      </c>
      <c r="J139" t="str">
        <f>_xlfn.XLOOKUP(I139,Lookup_Performance!A:A, Lookup_Performance!C:C,  , -1)</f>
        <v>Developing</v>
      </c>
      <c r="K139" t="s">
        <v>17</v>
      </c>
      <c r="L139" t="str">
        <f t="shared" si="12"/>
        <v>ACTIVE</v>
      </c>
      <c r="M139">
        <f t="shared" ca="1" si="13"/>
        <v>10</v>
      </c>
      <c r="N139" s="10">
        <f>_xlfn.XLOOKUP(J:J,Lookup_Performance!C:C,Lookup_Performance!D:D, "Not Found")</f>
        <v>0.02</v>
      </c>
      <c r="O139" s="3">
        <f t="shared" si="14"/>
        <v>1672.0785999999998</v>
      </c>
      <c r="P139" t="str">
        <f t="shared" si="15"/>
        <v>NO</v>
      </c>
    </row>
    <row r="140" spans="1:16" x14ac:dyDescent="0.25">
      <c r="A140" t="s">
        <v>271</v>
      </c>
      <c r="B140" t="s">
        <v>53</v>
      </c>
      <c r="C140" t="s">
        <v>15</v>
      </c>
      <c r="D140" t="s">
        <v>33</v>
      </c>
      <c r="E140" t="str">
        <f t="shared" si="11"/>
        <v>OPS06</v>
      </c>
      <c r="F140" t="str">
        <f>_xlfn.XLOOKUP(E140,Lookup_Departments!A:A,Lookup_Departments!B:B)</f>
        <v>Operations</v>
      </c>
      <c r="G140" s="15">
        <v>43257</v>
      </c>
      <c r="H140" s="5">
        <v>52720</v>
      </c>
      <c r="I140">
        <v>68</v>
      </c>
      <c r="J140" t="str">
        <f>_xlfn.XLOOKUP(I140,Lookup_Performance!A:A, Lookup_Performance!C:C,  , -1)</f>
        <v>Developing</v>
      </c>
      <c r="K140" t="s">
        <v>17</v>
      </c>
      <c r="L140" t="str">
        <f t="shared" si="12"/>
        <v>ACTIVE</v>
      </c>
      <c r="M140">
        <f t="shared" ca="1" si="13"/>
        <v>8</v>
      </c>
      <c r="N140" s="10">
        <f>_xlfn.XLOOKUP(J:J,Lookup_Performance!C:C,Lookup_Performance!D:D, "Not Found")</f>
        <v>0.02</v>
      </c>
      <c r="O140" s="3">
        <f t="shared" si="14"/>
        <v>1054.4000000000001</v>
      </c>
      <c r="P140" t="str">
        <f t="shared" si="15"/>
        <v>NO</v>
      </c>
    </row>
    <row r="141" spans="1:16" x14ac:dyDescent="0.25">
      <c r="A141" t="s">
        <v>272</v>
      </c>
      <c r="B141" t="s">
        <v>113</v>
      </c>
      <c r="C141" t="s">
        <v>19</v>
      </c>
      <c r="D141" t="s">
        <v>33</v>
      </c>
      <c r="E141" t="str">
        <f t="shared" si="11"/>
        <v>OPS06</v>
      </c>
      <c r="F141" t="str">
        <f>_xlfn.XLOOKUP(E141,Lookup_Departments!A:A,Lookup_Departments!B:B)</f>
        <v>Operations</v>
      </c>
      <c r="G141" s="15">
        <v>42932</v>
      </c>
      <c r="H141" s="5">
        <v>65065</v>
      </c>
      <c r="I141">
        <v>98</v>
      </c>
      <c r="J141" t="str">
        <f>_xlfn.XLOOKUP(I141,Lookup_Performance!A:A, Lookup_Performance!C:C,  , -1)</f>
        <v>Outstanding</v>
      </c>
      <c r="K141" t="s">
        <v>45</v>
      </c>
      <c r="L141" t="str">
        <f t="shared" si="12"/>
        <v>ACTIVE</v>
      </c>
      <c r="M141">
        <f t="shared" ca="1" si="13"/>
        <v>8</v>
      </c>
      <c r="N141" s="10">
        <f>_xlfn.XLOOKUP(J:J,Lookup_Performance!C:C,Lookup_Performance!D:D, "Not Found")</f>
        <v>0.12</v>
      </c>
      <c r="O141" s="3">
        <f t="shared" si="14"/>
        <v>7807.7999999999993</v>
      </c>
      <c r="P141" t="str">
        <f t="shared" si="15"/>
        <v>NO</v>
      </c>
    </row>
    <row r="142" spans="1:16" x14ac:dyDescent="0.25">
      <c r="A142" t="s">
        <v>273</v>
      </c>
      <c r="B142" t="s">
        <v>66</v>
      </c>
      <c r="C142" t="s">
        <v>15</v>
      </c>
      <c r="D142" t="s">
        <v>44</v>
      </c>
      <c r="E142" t="str">
        <f t="shared" si="11"/>
        <v>SAL05</v>
      </c>
      <c r="F142" t="str">
        <f>_xlfn.XLOOKUP(E142,Lookup_Departments!A:A,Lookup_Departments!B:B)</f>
        <v>Sales</v>
      </c>
      <c r="G142" s="15">
        <v>42175</v>
      </c>
      <c r="H142" s="5">
        <v>83603.929999999993</v>
      </c>
      <c r="I142">
        <v>94</v>
      </c>
      <c r="J142" t="str">
        <f>_xlfn.XLOOKUP(I142,Lookup_Performance!A:A, Lookup_Performance!C:C,  , -1)</f>
        <v>Exceeding</v>
      </c>
      <c r="K142" t="s">
        <v>116</v>
      </c>
      <c r="L142" t="str">
        <f t="shared" si="12"/>
        <v>RESIGNED</v>
      </c>
      <c r="M142">
        <f t="shared" ca="1" si="13"/>
        <v>11</v>
      </c>
      <c r="N142" s="10">
        <f>_xlfn.XLOOKUP(J:J,Lookup_Performance!C:C,Lookup_Performance!D:D, "Not Found")</f>
        <v>0.08</v>
      </c>
      <c r="O142" s="3">
        <f t="shared" si="14"/>
        <v>6688.3143999999993</v>
      </c>
      <c r="P142" t="str">
        <f t="shared" si="15"/>
        <v>YES</v>
      </c>
    </row>
    <row r="143" spans="1:16" x14ac:dyDescent="0.25">
      <c r="A143" t="s">
        <v>274</v>
      </c>
      <c r="B143" t="s">
        <v>14</v>
      </c>
      <c r="C143" t="s">
        <v>15</v>
      </c>
      <c r="D143" t="s">
        <v>37</v>
      </c>
      <c r="E143" t="str">
        <f t="shared" si="11"/>
        <v>OPS06</v>
      </c>
      <c r="F143" t="str">
        <f>_xlfn.XLOOKUP(E143,Lookup_Departments!A:A,Lookup_Departments!B:B)</f>
        <v>Operations</v>
      </c>
      <c r="G143" s="15">
        <v>43609</v>
      </c>
      <c r="H143" s="5">
        <v>108119</v>
      </c>
      <c r="I143">
        <v>57</v>
      </c>
      <c r="J143" t="str">
        <f>_xlfn.XLOOKUP(I143,Lookup_Performance!A:A, Lookup_Performance!C:C,  , -1)</f>
        <v>Developing</v>
      </c>
      <c r="K143" t="s">
        <v>116</v>
      </c>
      <c r="L143" t="str">
        <f t="shared" si="12"/>
        <v>RESIGNED</v>
      </c>
      <c r="M143">
        <f t="shared" ca="1" si="13"/>
        <v>7</v>
      </c>
      <c r="N143" s="10">
        <f>_xlfn.XLOOKUP(J:J,Lookup_Performance!C:C,Lookup_Performance!D:D, "Not Found")</f>
        <v>0.02</v>
      </c>
      <c r="O143" s="3">
        <f t="shared" si="14"/>
        <v>2162.38</v>
      </c>
      <c r="P143" t="str">
        <f t="shared" si="15"/>
        <v>YES</v>
      </c>
    </row>
    <row r="144" spans="1:16" x14ac:dyDescent="0.25">
      <c r="A144" t="s">
        <v>276</v>
      </c>
      <c r="B144" t="s">
        <v>14</v>
      </c>
      <c r="C144" t="s">
        <v>64</v>
      </c>
      <c r="D144" t="s">
        <v>84</v>
      </c>
      <c r="E144" t="str">
        <f t="shared" si="11"/>
        <v>IT02</v>
      </c>
      <c r="F144" t="str">
        <f>_xlfn.XLOOKUP(E144,Lookup_Departments!A:A,Lookup_Departments!B:B)</f>
        <v>Information Technology</v>
      </c>
      <c r="G144" s="15">
        <v>43887</v>
      </c>
      <c r="H144" s="5">
        <v>83603.929999999993</v>
      </c>
      <c r="I144">
        <v>96</v>
      </c>
      <c r="J144" t="str">
        <f>_xlfn.XLOOKUP(I144,Lookup_Performance!A:A, Lookup_Performance!C:C,  , -1)</f>
        <v>Outstanding</v>
      </c>
      <c r="K144" t="s">
        <v>12</v>
      </c>
      <c r="L144" t="str">
        <f t="shared" si="12"/>
        <v>ACTIVE</v>
      </c>
      <c r="M144">
        <f t="shared" ca="1" si="13"/>
        <v>6</v>
      </c>
      <c r="N144" s="10">
        <f>_xlfn.XLOOKUP(J:J,Lookup_Performance!C:C,Lookup_Performance!D:D, "Not Found")</f>
        <v>0.12</v>
      </c>
      <c r="O144" s="3">
        <f t="shared" si="14"/>
        <v>10032.471599999999</v>
      </c>
      <c r="P144" t="str">
        <f t="shared" si="15"/>
        <v>NO</v>
      </c>
    </row>
    <row r="145" spans="1:16" x14ac:dyDescent="0.25">
      <c r="A145" t="s">
        <v>277</v>
      </c>
      <c r="B145" t="s">
        <v>24</v>
      </c>
      <c r="C145" t="s">
        <v>64</v>
      </c>
      <c r="D145" t="s">
        <v>97</v>
      </c>
      <c r="E145" t="str">
        <f t="shared" si="11"/>
        <v>HR01</v>
      </c>
      <c r="F145" t="str">
        <f>_xlfn.XLOOKUP(E145,Lookup_Departments!A:A,Lookup_Departments!B:B)</f>
        <v>Human Resources</v>
      </c>
      <c r="G145" s="15">
        <v>44991</v>
      </c>
      <c r="H145" s="5">
        <v>106896</v>
      </c>
      <c r="I145">
        <v>52</v>
      </c>
      <c r="J145" t="str">
        <f>_xlfn.XLOOKUP(I145,Lookup_Performance!A:A, Lookup_Performance!C:C,  , -1)</f>
        <v>Developing</v>
      </c>
      <c r="K145" t="s">
        <v>22</v>
      </c>
      <c r="L145" t="str">
        <f t="shared" si="12"/>
        <v>LEFT</v>
      </c>
      <c r="M145">
        <f t="shared" ca="1" si="13"/>
        <v>3</v>
      </c>
      <c r="N145" s="10">
        <f>_xlfn.XLOOKUP(J:J,Lookup_Performance!C:C,Lookup_Performance!D:D, "Not Found")</f>
        <v>0.02</v>
      </c>
      <c r="O145" s="3">
        <f t="shared" si="14"/>
        <v>2137.92</v>
      </c>
      <c r="P145" t="str">
        <f t="shared" si="15"/>
        <v>YES</v>
      </c>
    </row>
    <row r="146" spans="1:16" x14ac:dyDescent="0.25">
      <c r="A146" t="s">
        <v>278</v>
      </c>
      <c r="B146" t="s">
        <v>94</v>
      </c>
      <c r="C146" t="s">
        <v>60</v>
      </c>
      <c r="D146" t="s">
        <v>20</v>
      </c>
      <c r="E146" t="str">
        <f t="shared" si="11"/>
        <v>IT02</v>
      </c>
      <c r="F146" t="str">
        <f>_xlfn.XLOOKUP(E146,Lookup_Departments!A:A,Lookup_Departments!B:B)</f>
        <v>Information Technology</v>
      </c>
      <c r="G146" s="15">
        <v>43477</v>
      </c>
      <c r="H146" s="5">
        <v>112887</v>
      </c>
      <c r="I146">
        <v>59</v>
      </c>
      <c r="J146" t="str">
        <f>_xlfn.XLOOKUP(I146,Lookup_Performance!A:A, Lookup_Performance!C:C,  , -1)</f>
        <v>Developing</v>
      </c>
      <c r="K146" t="s">
        <v>45</v>
      </c>
      <c r="L146" t="str">
        <f t="shared" si="12"/>
        <v>ACTIVE</v>
      </c>
      <c r="M146">
        <f t="shared" ca="1" si="13"/>
        <v>7</v>
      </c>
      <c r="N146" s="10">
        <f>_xlfn.XLOOKUP(J:J,Lookup_Performance!C:C,Lookup_Performance!D:D, "Not Found")</f>
        <v>0.02</v>
      </c>
      <c r="O146" s="3">
        <f t="shared" si="14"/>
        <v>2257.7400000000002</v>
      </c>
      <c r="P146" t="str">
        <f t="shared" si="15"/>
        <v>NO</v>
      </c>
    </row>
    <row r="147" spans="1:16" x14ac:dyDescent="0.25">
      <c r="A147" t="s">
        <v>280</v>
      </c>
      <c r="B147" t="s">
        <v>105</v>
      </c>
      <c r="C147" t="s">
        <v>41</v>
      </c>
      <c r="D147" t="s">
        <v>26</v>
      </c>
      <c r="E147" t="str">
        <f t="shared" si="11"/>
        <v>FIN03</v>
      </c>
      <c r="F147" t="str">
        <f>_xlfn.XLOOKUP(E147,Lookup_Departments!A:A,Lookup_Departments!B:B)</f>
        <v>Finance</v>
      </c>
      <c r="G147" s="15">
        <v>45037</v>
      </c>
      <c r="H147" s="5">
        <v>85457</v>
      </c>
      <c r="I147">
        <v>79</v>
      </c>
      <c r="J147" t="str">
        <f>_xlfn.XLOOKUP(I147,Lookup_Performance!A:A, Lookup_Performance!C:C,  , -1)</f>
        <v>Achieving</v>
      </c>
      <c r="K147" t="s">
        <v>17</v>
      </c>
      <c r="L147" t="str">
        <f t="shared" si="12"/>
        <v>ACTIVE</v>
      </c>
      <c r="M147">
        <f t="shared" ca="1" si="13"/>
        <v>3</v>
      </c>
      <c r="N147" s="10">
        <f>_xlfn.XLOOKUP(J:J,Lookup_Performance!C:C,Lookup_Performance!D:D, "Not Found")</f>
        <v>0.05</v>
      </c>
      <c r="O147" s="3">
        <f t="shared" si="14"/>
        <v>4272.8500000000004</v>
      </c>
      <c r="P147" t="str">
        <f t="shared" si="15"/>
        <v>NO</v>
      </c>
    </row>
    <row r="148" spans="1:16" x14ac:dyDescent="0.25">
      <c r="A148" t="s">
        <v>281</v>
      </c>
      <c r="B148" t="s">
        <v>105</v>
      </c>
      <c r="C148" t="s">
        <v>47</v>
      </c>
      <c r="D148" t="s">
        <v>48</v>
      </c>
      <c r="E148" t="str">
        <f t="shared" si="11"/>
        <v>SAL05</v>
      </c>
      <c r="F148" t="str">
        <f>_xlfn.XLOOKUP(E148,Lookup_Departments!A:A,Lookup_Departments!B:B)</f>
        <v>Sales</v>
      </c>
      <c r="G148" s="15">
        <v>42519</v>
      </c>
      <c r="H148" s="5">
        <v>62798</v>
      </c>
      <c r="I148">
        <v>30</v>
      </c>
      <c r="J148" t="str">
        <f>_xlfn.XLOOKUP(I148,Lookup_Performance!A:A, Lookup_Performance!C:C,  , -1)</f>
        <v>Needs Improvement</v>
      </c>
      <c r="K148" t="s">
        <v>17</v>
      </c>
      <c r="L148" t="str">
        <f t="shared" si="12"/>
        <v>ACTIVE</v>
      </c>
      <c r="M148">
        <f t="shared" ca="1" si="13"/>
        <v>10</v>
      </c>
      <c r="N148" s="10">
        <f>_xlfn.XLOOKUP(J:J,Lookup_Performance!C:C,Lookup_Performance!D:D, "Not Found")</f>
        <v>0</v>
      </c>
      <c r="O148" s="3">
        <f t="shared" si="14"/>
        <v>0</v>
      </c>
      <c r="P148" t="str">
        <f t="shared" si="15"/>
        <v>NO</v>
      </c>
    </row>
    <row r="149" spans="1:16" x14ac:dyDescent="0.25">
      <c r="A149" t="s">
        <v>282</v>
      </c>
      <c r="B149" t="s">
        <v>24</v>
      </c>
      <c r="C149" t="s">
        <v>25</v>
      </c>
      <c r="D149" t="s">
        <v>33</v>
      </c>
      <c r="E149" t="str">
        <f t="shared" si="11"/>
        <v>OPS06</v>
      </c>
      <c r="F149" t="str">
        <f>_xlfn.XLOOKUP(E149,Lookup_Departments!A:A,Lookup_Departments!B:B)</f>
        <v>Operations</v>
      </c>
      <c r="G149" s="15">
        <v>44711</v>
      </c>
      <c r="H149" s="5">
        <v>47794</v>
      </c>
      <c r="I149">
        <v>73</v>
      </c>
      <c r="J149" t="str">
        <f>_xlfn.XLOOKUP(I149,Lookup_Performance!A:A, Lookup_Performance!C:C,  , -1)</f>
        <v>Achieving</v>
      </c>
      <c r="K149" t="s">
        <v>22</v>
      </c>
      <c r="L149" t="str">
        <f t="shared" si="12"/>
        <v>LEFT</v>
      </c>
      <c r="M149">
        <f t="shared" ca="1" si="13"/>
        <v>4</v>
      </c>
      <c r="N149" s="10">
        <f>_xlfn.XLOOKUP(J:J,Lookup_Performance!C:C,Lookup_Performance!D:D, "Not Found")</f>
        <v>0.05</v>
      </c>
      <c r="O149" s="3">
        <f t="shared" si="14"/>
        <v>2389.7000000000003</v>
      </c>
      <c r="P149" t="str">
        <f t="shared" si="15"/>
        <v>YES</v>
      </c>
    </row>
    <row r="150" spans="1:16" x14ac:dyDescent="0.25">
      <c r="A150" t="s">
        <v>283</v>
      </c>
      <c r="B150" t="s">
        <v>14</v>
      </c>
      <c r="C150" t="s">
        <v>41</v>
      </c>
      <c r="D150" t="s">
        <v>16</v>
      </c>
      <c r="E150" t="str">
        <f t="shared" si="11"/>
        <v>MKT04</v>
      </c>
      <c r="F150" t="str">
        <f>_xlfn.XLOOKUP(E150,Lookup_Departments!A:A,Lookup_Departments!B:B)</f>
        <v>Marketing</v>
      </c>
      <c r="G150" s="15">
        <v>42677</v>
      </c>
      <c r="H150" s="5">
        <v>93094</v>
      </c>
      <c r="I150">
        <v>74</v>
      </c>
      <c r="J150" t="str">
        <f>_xlfn.XLOOKUP(I150,Lookup_Performance!A:A, Lookup_Performance!C:C,  , -1)</f>
        <v>Achieving</v>
      </c>
      <c r="K150" t="s">
        <v>12</v>
      </c>
      <c r="L150" t="str">
        <f t="shared" si="12"/>
        <v>ACTIVE</v>
      </c>
      <c r="M150">
        <f t="shared" ca="1" si="13"/>
        <v>9</v>
      </c>
      <c r="N150" s="10">
        <f>_xlfn.XLOOKUP(J:J,Lookup_Performance!C:C,Lookup_Performance!D:D, "Not Found")</f>
        <v>0.05</v>
      </c>
      <c r="O150" s="3">
        <f t="shared" si="14"/>
        <v>4654.7</v>
      </c>
      <c r="P150" t="str">
        <f t="shared" si="15"/>
        <v>NO</v>
      </c>
    </row>
    <row r="151" spans="1:16" x14ac:dyDescent="0.25">
      <c r="A151" t="s">
        <v>285</v>
      </c>
      <c r="B151" t="str">
        <f>B150</f>
        <v>Richard</v>
      </c>
      <c r="C151" t="s">
        <v>10</v>
      </c>
      <c r="D151" t="s">
        <v>11</v>
      </c>
      <c r="E151" t="str">
        <f t="shared" si="11"/>
        <v>IT02</v>
      </c>
      <c r="F151" t="str">
        <f>_xlfn.XLOOKUP(E151,Lookup_Departments!A:A,Lookup_Departments!B:B)</f>
        <v>Information Technology</v>
      </c>
      <c r="G151" s="15">
        <v>44848</v>
      </c>
      <c r="H151" s="5">
        <v>118634</v>
      </c>
      <c r="I151">
        <v>91</v>
      </c>
      <c r="J151" t="str">
        <f>_xlfn.XLOOKUP(I151,Lookup_Performance!A:A, Lookup_Performance!C:C,  , -1)</f>
        <v>Exceeding</v>
      </c>
      <c r="K151" t="s">
        <v>17</v>
      </c>
      <c r="L151" t="str">
        <f t="shared" si="12"/>
        <v>ACTIVE</v>
      </c>
      <c r="M151">
        <f t="shared" ca="1" si="13"/>
        <v>3</v>
      </c>
      <c r="N151" s="10">
        <f>_xlfn.XLOOKUP(J:J,Lookup_Performance!C:C,Lookup_Performance!D:D, "Not Found")</f>
        <v>0.08</v>
      </c>
      <c r="O151" s="3">
        <f t="shared" si="14"/>
        <v>9490.7199999999993</v>
      </c>
      <c r="P151" t="str">
        <f t="shared" si="15"/>
        <v>NO</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Raw_Employee_Data</vt:lpstr>
      <vt:lpstr>Lookup_Departments</vt:lpstr>
      <vt:lpstr>Lookup_Performance</vt:lpstr>
      <vt:lpstr>HR Analysis</vt:lpstr>
      <vt:lpstr>Pivot Chart</vt:lpstr>
      <vt:lpstr>HR_DASHBOARD</vt:lpstr>
      <vt:lpstr>DB_Formula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haleemah jibril</cp:lastModifiedBy>
  <dcterms:created xsi:type="dcterms:W3CDTF">2026-06-04T20:20:01Z</dcterms:created>
  <dcterms:modified xsi:type="dcterms:W3CDTF">2026-07-07T15:39:48Z</dcterms:modified>
</cp:coreProperties>
</file>